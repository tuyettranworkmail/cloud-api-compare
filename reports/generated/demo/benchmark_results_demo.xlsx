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2.xml" ContentType="application/vnd.openxmlformats-officedocument.drawing+xml"/>
  <Override PartName="/xl/tables/table8.xml" ContentType="application/vnd.openxmlformats-officedocument.spreadsheetml.table+xml"/>
  <Override PartName="/xl/charts/chart2.xml" ContentType="application/vnd.openxmlformats-officedocument.drawingml.char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1.xml" ContentType="application/vnd.openxmlformats-officedocument.spreadsheetml.comments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ownloads\deadlinePhucHoang\reports\generated\demo\"/>
    </mc:Choice>
  </mc:AlternateContent>
  <xr:revisionPtr revIDLastSave="0" documentId="13_ncr:1_{D93995F5-324B-4926-A62D-16E51DB7458D}" xr6:coauthVersionLast="47" xr6:coauthVersionMax="47" xr10:uidLastSave="{00000000-0000-0000-0000-000000000000}"/>
  <bookViews>
    <workbookView xWindow="7290" yWindow="2985" windowWidth="17700" windowHeight="11295" xr2:uid="{00000000-000D-0000-FFFF-FFFF00000000}"/>
  </bookViews>
  <sheets>
    <sheet name="Overview" sheetId="1" r:id="rId1"/>
    <sheet name="Per Run" sheetId="2" r:id="rId2"/>
    <sheet name="Confidence" sheetId="3" r:id="rId3"/>
    <sheet name="Cold Warm" sheetId="4" r:id="rId4"/>
    <sheet name="Scaling" sheetId="5" r:id="rId5"/>
    <sheet name="Burst Phases" sheetId="6" r:id="rId6"/>
    <sheet name="Errors" sheetId="7" r:id="rId7"/>
    <sheet name="Cost Breakdown" sheetId="8" r:id="rId8"/>
    <sheet name="Cost Summary" sheetId="9" r:id="rId9"/>
    <sheet name="Sensitivity" sheetId="10" r:id="rId10"/>
    <sheet name="Pricing Sources" sheetId="11" r:id="rId11"/>
    <sheet name="Assumptions" sheetId="12" r:id="rId12"/>
    <sheet name="Break Even" sheetId="13" r:id="rId13"/>
    <sheet name="Method and Provenance" sheetId="14" r:id="rId14"/>
  </sheets>
  <definedNames>
    <definedName name="_xlnm.Print_Area" localSheetId="0">Overview!$A$1:$I$39</definedName>
    <definedName name="_xlnm.Print_Titles" localSheetId="11">Assumptions!$1:$5</definedName>
    <definedName name="_xlnm.Print_Titles" localSheetId="12">'Break Even'!$1:$5</definedName>
    <definedName name="_xlnm.Print_Titles" localSheetId="5">'Burst Phases'!$1:$5</definedName>
    <definedName name="_xlnm.Print_Titles" localSheetId="3">'Cold Warm'!$1:$5</definedName>
    <definedName name="_xlnm.Print_Titles" localSheetId="2">Confidence!$1:$5</definedName>
    <definedName name="_xlnm.Print_Titles" localSheetId="7">'Cost Breakdown'!$1:$5</definedName>
    <definedName name="_xlnm.Print_Titles" localSheetId="8">'Cost Summary'!$1:$5</definedName>
    <definedName name="_xlnm.Print_Titles" localSheetId="6">Errors!$1:$5</definedName>
    <definedName name="_xlnm.Print_Titles" localSheetId="13">'Method and Provenance'!$1:$5</definedName>
    <definedName name="_xlnm.Print_Titles" localSheetId="0">Overview!$1:$5</definedName>
    <definedName name="_xlnm.Print_Titles" localSheetId="1">'Per Run'!$1:$5</definedName>
    <definedName name="_xlnm.Print_Titles" localSheetId="10">'Pricing Sources'!$1:$5</definedName>
    <definedName name="_xlnm.Print_Titles" localSheetId="4">Scaling!$1:$5</definedName>
    <definedName name="_xlnm.Print_Titles" localSheetId="9">Sensitivity!$1:$5</definedName>
  </definedNames>
  <calcPr calcId="191029"/>
</workbook>
</file>

<file path=xl/calcChain.xml><?xml version="1.0" encoding="utf-8"?>
<calcChain xmlns="http://schemas.openxmlformats.org/spreadsheetml/2006/main">
  <c r="M14" i="9" l="1"/>
  <c r="J14" i="9"/>
  <c r="Q8" i="9" s="1"/>
  <c r="M13" i="9"/>
  <c r="J13" i="9"/>
  <c r="K13" i="9" s="1"/>
  <c r="L13" i="9" s="1"/>
  <c r="M12" i="9"/>
  <c r="J12" i="9"/>
  <c r="K12" i="9" s="1"/>
  <c r="L12" i="9" s="1"/>
  <c r="M11" i="9"/>
  <c r="J11" i="9"/>
  <c r="P8" i="9" s="1"/>
  <c r="M10" i="9"/>
  <c r="J10" i="9"/>
  <c r="K10" i="9" s="1"/>
  <c r="L10" i="9" s="1"/>
  <c r="M9" i="9"/>
  <c r="I6" i="1" s="1"/>
  <c r="J9" i="9"/>
  <c r="K9" i="9" s="1"/>
  <c r="L9" i="9" s="1"/>
  <c r="M8" i="9"/>
  <c r="J8" i="9"/>
  <c r="O8" i="9" s="1"/>
  <c r="M7" i="9"/>
  <c r="J7" i="9"/>
  <c r="K7" i="9" s="1"/>
  <c r="L7" i="9" s="1"/>
  <c r="Q6" i="9"/>
  <c r="M6" i="9"/>
  <c r="J6" i="9"/>
  <c r="O6" i="9" s="1"/>
  <c r="G8" i="1"/>
  <c r="F8" i="1"/>
  <c r="E8" i="1"/>
  <c r="D8" i="1"/>
  <c r="C8" i="1"/>
  <c r="B8" i="1"/>
  <c r="G7" i="1"/>
  <c r="F7" i="1"/>
  <c r="E7" i="1"/>
  <c r="D7" i="1"/>
  <c r="C7" i="1"/>
  <c r="B7" i="1"/>
  <c r="G6" i="1"/>
  <c r="F6" i="1"/>
  <c r="E6" i="1"/>
  <c r="D6" i="1"/>
  <c r="C6" i="1"/>
  <c r="B6" i="1"/>
  <c r="H6" i="1" l="1"/>
  <c r="P6" i="9"/>
  <c r="I7" i="1"/>
  <c r="Q7" i="9"/>
  <c r="I8" i="1"/>
  <c r="H8" i="1"/>
  <c r="O7" i="9"/>
  <c r="P7" i="9"/>
  <c r="H7" i="1"/>
  <c r="K6" i="9"/>
  <c r="L6" i="9" s="1"/>
  <c r="K8" i="9"/>
  <c r="L8" i="9" s="1"/>
  <c r="K11" i="9"/>
  <c r="L11" i="9" s="1"/>
  <c r="K14" i="9"/>
  <c r="L14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Source</author>
  </authors>
  <commentList>
    <comment ref="E6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https://cloud.google.com/products/compute/pricing/general-purpose
Retrieved: 2026-10-31</t>
        </r>
      </text>
    </comment>
    <comment ref="E7" authorId="0" shapeId="0" xr:uid="{00000000-0006-0000-0A00-000002000000}">
      <text>
        <r>
          <rPr>
            <sz val="11"/>
            <color theme="1"/>
            <rFont val="Calibri"/>
            <family val="2"/>
            <scheme val="minor"/>
          </rPr>
          <t>https://cloud.google.com/run/pricing
Retrieved: 2026-10-31</t>
        </r>
      </text>
    </comment>
    <comment ref="E8" authorId="0" shapeId="0" xr:uid="{00000000-0006-0000-0A00-000003000000}">
      <text>
        <r>
          <rPr>
            <sz val="11"/>
            <color theme="1"/>
            <rFont val="Calibri"/>
            <family val="2"/>
            <scheme val="minor"/>
          </rPr>
          <t>https://cloud.google.com/run/pricing
Retrieved: 2026-10-31</t>
        </r>
      </text>
    </comment>
    <comment ref="E9" authorId="0" shapeId="0" xr:uid="{00000000-0006-0000-0A00-000004000000}">
      <text>
        <r>
          <rPr>
            <sz val="11"/>
            <color theme="1"/>
            <rFont val="Calibri"/>
            <family val="2"/>
            <scheme val="minor"/>
          </rPr>
          <t>https://cloud.google.com/run/pricing
Retrieved: 2026-10-31</t>
        </r>
      </text>
    </comment>
    <comment ref="E10" authorId="0" shapeId="0" xr:uid="{00000000-0006-0000-0A00-000005000000}">
      <text>
        <r>
          <rPr>
            <sz val="11"/>
            <color theme="1"/>
            <rFont val="Calibri"/>
            <family val="2"/>
            <scheme val="minor"/>
          </rPr>
          <t>https://cloud.google.com/run/pricing
Retrieved: 2026-10-31</t>
        </r>
      </text>
    </comment>
    <comment ref="E11" authorId="0" shapeId="0" xr:uid="{00000000-0006-0000-0A00-000006000000}">
      <text>
        <r>
          <rPr>
            <sz val="11"/>
            <color theme="1"/>
            <rFont val="Calibri"/>
            <family val="2"/>
            <scheme val="minor"/>
          </rPr>
          <t>https://cloud.google.com/run/pricing
Retrieved: 2026-10-31</t>
        </r>
      </text>
    </comment>
    <comment ref="E12" authorId="0" shapeId="0" xr:uid="{00000000-0006-0000-0A00-000007000000}">
      <text>
        <r>
          <rPr>
            <sz val="11"/>
            <color theme="1"/>
            <rFont val="Calibri"/>
            <family val="2"/>
            <scheme val="minor"/>
          </rPr>
          <t>https://cloud.google.com/run/pricing
Retrieved: 2026-10-31</t>
        </r>
      </text>
    </comment>
    <comment ref="E13" authorId="0" shapeId="0" xr:uid="{00000000-0006-0000-0A00-000008000000}">
      <text>
        <r>
          <rPr>
            <sz val="11"/>
            <color theme="1"/>
            <rFont val="Calibri"/>
            <family val="2"/>
            <scheme val="minor"/>
          </rPr>
          <t>https://cloud.google.com/run/pricing
Retrieved: 2026-10-31</t>
        </r>
      </text>
    </comment>
    <comment ref="E14" authorId="0" shapeId="0" xr:uid="{00000000-0006-0000-0A00-000009000000}">
      <text>
        <r>
          <rPr>
            <sz val="11"/>
            <color theme="1"/>
            <rFont val="Calibri"/>
            <family val="2"/>
            <scheme val="minor"/>
          </rPr>
          <t>https://cloud.google.com/firestore/pricing
Retrieved: 2026-10-31</t>
        </r>
      </text>
    </comment>
    <comment ref="E15" authorId="0" shapeId="0" xr:uid="{00000000-0006-0000-0A00-00000A000000}">
      <text>
        <r>
          <rPr>
            <sz val="11"/>
            <color theme="1"/>
            <rFont val="Calibri"/>
            <family val="2"/>
            <scheme val="minor"/>
          </rPr>
          <t>https://cloud.google.com/firestore/pricing
Retrieved: 2026-10-31</t>
        </r>
      </text>
    </comment>
    <comment ref="E16" authorId="0" shapeId="0" xr:uid="{00000000-0006-0000-0A00-00000B000000}">
      <text>
        <r>
          <rPr>
            <sz val="11"/>
            <color theme="1"/>
            <rFont val="Calibri"/>
            <family val="2"/>
            <scheme val="minor"/>
          </rPr>
          <t>https://cloud.google.com/firestore/pricing
Retrieved: 2026-10-31</t>
        </r>
      </text>
    </comment>
    <comment ref="E17" authorId="0" shapeId="0" xr:uid="{00000000-0006-0000-0A00-00000C000000}">
      <text>
        <r>
          <rPr>
            <sz val="11"/>
            <color theme="1"/>
            <rFont val="Calibri"/>
            <family val="2"/>
            <scheme val="minor"/>
          </rPr>
          <t>https://cloud.google.com/firestore/pricing
Retrieved: 2026-10-31</t>
        </r>
      </text>
    </comment>
    <comment ref="E18" authorId="0" shapeId="0" xr:uid="{00000000-0006-0000-0A00-00000D000000}">
      <text>
        <r>
          <rPr>
            <sz val="11"/>
            <color theme="1"/>
            <rFont val="Calibri"/>
            <family val="2"/>
            <scheme val="minor"/>
          </rPr>
          <t>https://cloud.google.com/compute/disks-image-pricing
Retrieved: 2026-10-31</t>
        </r>
      </text>
    </comment>
    <comment ref="E19" authorId="0" shapeId="0" xr:uid="{00000000-0006-0000-0A00-00000E000000}">
      <text>
        <r>
          <rPr>
            <sz val="11"/>
            <color theme="1"/>
            <rFont val="Calibri"/>
            <family val="2"/>
            <scheme val="minor"/>
          </rPr>
          <t>https://cloud.google.com/vpc/network-pricing
Retrieved: 2026-10-31</t>
        </r>
      </text>
    </comment>
    <comment ref="E20" authorId="0" shapeId="0" xr:uid="{00000000-0006-0000-0A00-00000F000000}">
      <text>
        <r>
          <rPr>
            <sz val="11"/>
            <color theme="1"/>
            <rFont val="Calibri"/>
            <family val="2"/>
            <scheme val="minor"/>
          </rPr>
          <t>https://cloud.google.com/vpc/network-pricing
Retrieved: 2026-10-31</t>
        </r>
      </text>
    </comment>
    <comment ref="E21" authorId="0" shapeId="0" xr:uid="{00000000-0006-0000-0A00-000010000000}">
      <text>
        <r>
          <rPr>
            <sz val="11"/>
            <color theme="1"/>
            <rFont val="Calibri"/>
            <family val="2"/>
            <scheme val="minor"/>
          </rPr>
          <t>https://cloud.google.com/stackdriver/pricing
Retrieved: 2026-10-31</t>
        </r>
      </text>
    </comment>
    <comment ref="E22" authorId="0" shapeId="0" xr:uid="{00000000-0006-0000-0A00-000011000000}">
      <text>
        <r>
          <rPr>
            <sz val="11"/>
            <color theme="1"/>
            <rFont val="Calibri"/>
            <family val="2"/>
            <scheme val="minor"/>
          </rPr>
          <t>https://cloud.google.com/stackdriver/pricing
Retrieved: 2026-10-31</t>
        </r>
      </text>
    </comment>
    <comment ref="E23" authorId="0" shapeId="0" xr:uid="{00000000-0006-0000-0A00-000012000000}">
      <text>
        <r>
          <rPr>
            <sz val="11"/>
            <color theme="1"/>
            <rFont val="Calibri"/>
            <family val="2"/>
            <scheme val="minor"/>
          </rPr>
          <t>https://cloud.google.com/build/pricing
Retrieved: 2026-10-31</t>
        </r>
      </text>
    </comment>
    <comment ref="E24" authorId="0" shapeId="0" xr:uid="{00000000-0006-0000-0A00-000013000000}">
      <text>
        <r>
          <rPr>
            <sz val="11"/>
            <color theme="1"/>
            <rFont val="Calibri"/>
            <family val="2"/>
            <scheme val="minor"/>
          </rPr>
          <t>https://cloud.google.com/artifact-registry/pricing
Retrieved: 2026-10-31</t>
        </r>
      </text>
    </comment>
  </commentList>
</comments>
</file>

<file path=xl/sharedStrings.xml><?xml version="1.0" encoding="utf-8"?>
<sst xmlns="http://schemas.openxmlformats.org/spreadsheetml/2006/main" count="10311" uniqueCount="486">
  <si>
    <t>CloudBench | Research overview</t>
  </si>
  <si>
    <t>SIMULATED DATA – NOT REAL CLOUD MEASUREMENTS</t>
  </si>
  <si>
    <t>Cohort selectors: A4 scenario; B4 load; C4 endpoint. H4 cost level. Only valid independent runs.</t>
  </si>
  <si>
    <t>steady</t>
  </si>
  <si>
    <t>medium</t>
  </si>
  <si>
    <t>all</t>
  </si>
  <si>
    <t>Model</t>
  </si>
  <si>
    <t>Valid runs</t>
  </si>
  <si>
    <t>Mean run p50 (ms)</t>
  </si>
  <si>
    <t>Mean run p95 (ms)</t>
  </si>
  <si>
    <t>Mean run p99 (ms)</t>
  </si>
  <si>
    <t>Throughput (req/s)</t>
  </si>
  <si>
    <t>Error rate (%)</t>
  </si>
  <si>
    <t>Monthly cost (USD)</t>
  </si>
  <si>
    <t>Capacity status</t>
  </si>
  <si>
    <t>IAAS</t>
  </si>
  <si>
    <t>PAAS</t>
  </si>
  <si>
    <t>FAAS</t>
  </si>
  <si>
    <t>INCONCLUSIVE for empirical GCP conclusions in DEMO. Capacity is a separate requirement; latency and cost have different scopes.</t>
  </si>
  <si>
    <t>Bảng nguồn đầy đủ ở Per Run / Confidence; không dùng biểu đồ mean như kiểm định thống kê.</t>
  </si>
  <si>
    <t>Per Run</t>
  </si>
  <si>
    <t>results\processed\demo\per_run.csv</t>
  </si>
  <si>
    <t>data_mode</t>
  </si>
  <si>
    <t>run_id</t>
  </si>
  <si>
    <t>model</t>
  </si>
  <si>
    <t>scenario</t>
  </si>
  <si>
    <t>load_level</t>
  </si>
  <si>
    <t>endpoint</t>
  </si>
  <si>
    <t>repeat</t>
  </si>
  <si>
    <t>request_count</t>
  </si>
  <si>
    <t>success_count</t>
  </si>
  <si>
    <t>failure_count</t>
  </si>
  <si>
    <t>unknown_outcome_count</t>
  </si>
  <si>
    <t>mean_ms</t>
  </si>
  <si>
    <t>p50_ms</t>
  </si>
  <si>
    <t>p95_ms</t>
  </si>
  <si>
    <t>p99_ms</t>
  </si>
  <si>
    <t>min_ms</t>
  </si>
  <si>
    <t>max_ms</t>
  </si>
  <si>
    <t>std_ms</t>
  </si>
  <si>
    <t>cv</t>
  </si>
  <si>
    <t>duration_seconds</t>
  </si>
  <si>
    <t>offered_rps</t>
  </si>
  <si>
    <t>achieved_rps</t>
  </si>
  <si>
    <t>cohort_rps</t>
  </si>
  <si>
    <t>goodput_rps</t>
  </si>
  <si>
    <t>error_rate_pct</t>
  </si>
  <si>
    <t>dropped_iterations</t>
  </si>
  <si>
    <t>dropped_rate_pct</t>
  </si>
  <si>
    <t>cold_count</t>
  </si>
  <si>
    <t>cold_ratio_pct</t>
  </si>
  <si>
    <t>unknown_classification_count</t>
  </si>
  <si>
    <t>valid_for_comparison</t>
  </si>
  <si>
    <t>status</t>
  </si>
  <si>
    <t>p99_warning</t>
  </si>
  <si>
    <t>warning</t>
  </si>
  <si>
    <t>DEMO</t>
  </si>
  <si>
    <t>simulated-faas-burst-burst-mixed-r01</t>
  </si>
  <si>
    <t>faas</t>
  </si>
  <si>
    <t>burst</t>
  </si>
  <si>
    <t>COMPLETE</t>
  </si>
  <si>
    <t>UNSTABLE_SMALL_SAMPLE</t>
  </si>
  <si>
    <t>cpu</t>
  </si>
  <si>
    <t>read</t>
  </si>
  <si>
    <t>write</t>
  </si>
  <si>
    <t>simulated-faas-burst-burst-mixed-r02</t>
  </si>
  <si>
    <t>simulated-faas-burst-burst-mixed-r03</t>
  </si>
  <si>
    <t>simulated-faas-burst-burst-mixed-r04</t>
  </si>
  <si>
    <t>simulated-faas-burst-burst-mixed-r05</t>
  </si>
  <si>
    <t>simulated-faas-idle-idle-mixed-r01</t>
  </si>
  <si>
    <t>idle</t>
  </si>
  <si>
    <t>INSUFFICIENT_SAMPLES</t>
  </si>
  <si>
    <t>simulated-faas-idle-idle-mixed-r02</t>
  </si>
  <si>
    <t>simulated-faas-idle-idle-mixed-r03</t>
  </si>
  <si>
    <t>simulated-faas-idle-idle-mixed-r04</t>
  </si>
  <si>
    <t>simulated-faas-idle-idle-mixed-r05</t>
  </si>
  <si>
    <t>simulated-faas-steady-high-mixed-r01</t>
  </si>
  <si>
    <t>high</t>
  </si>
  <si>
    <t>simulated-faas-steady-high-mixed-r02</t>
  </si>
  <si>
    <t>simulated-faas-steady-high-mixed-r03</t>
  </si>
  <si>
    <t>simulated-faas-steady-high-mixed-r04</t>
  </si>
  <si>
    <t>simulated-faas-steady-high-mixed-r05</t>
  </si>
  <si>
    <t>simulated-faas-steady-low-mixed-r01</t>
  </si>
  <si>
    <t>low</t>
  </si>
  <si>
    <t>simulated-faas-steady-low-mixed-r02</t>
  </si>
  <si>
    <t>simulated-faas-steady-low-mixed-r03</t>
  </si>
  <si>
    <t>simulated-faas-steady-low-mixed-r04</t>
  </si>
  <si>
    <t>simulated-faas-steady-low-mixed-r05</t>
  </si>
  <si>
    <t>simulated-faas-steady-medium-mixed-r01</t>
  </si>
  <si>
    <t>simulated-faas-steady-medium-mixed-r02</t>
  </si>
  <si>
    <t>simulated-faas-steady-medium-mixed-r03</t>
  </si>
  <si>
    <t>simulated-faas-steady-medium-mixed-r04</t>
  </si>
  <si>
    <t>simulated-faas-steady-medium-mixed-r05</t>
  </si>
  <si>
    <t>simulated-iaas-burst-burst-mixed-r01</t>
  </si>
  <si>
    <t>iaas</t>
  </si>
  <si>
    <t>simulated-iaas-burst-burst-mixed-r02</t>
  </si>
  <si>
    <t>simulated-iaas-burst-burst-mixed-r03</t>
  </si>
  <si>
    <t>simulated-iaas-burst-burst-mixed-r04</t>
  </si>
  <si>
    <t>simulated-iaas-burst-burst-mixed-r05</t>
  </si>
  <si>
    <t>simulated-iaas-idle-idle-mixed-r01</t>
  </si>
  <si>
    <t>simulated-iaas-idle-idle-mixed-r02</t>
  </si>
  <si>
    <t>simulated-iaas-idle-idle-mixed-r03</t>
  </si>
  <si>
    <t>simulated-iaas-idle-idle-mixed-r04</t>
  </si>
  <si>
    <t>simulated-iaas-idle-idle-mixed-r05</t>
  </si>
  <si>
    <t>simulated-iaas-steady-high-mixed-r01</t>
  </si>
  <si>
    <t>DROPPED_ITERATIONS</t>
  </si>
  <si>
    <t>simulated-iaas-steady-high-mixed-r02</t>
  </si>
  <si>
    <t>simulated-iaas-steady-high-mixed-r03</t>
  </si>
  <si>
    <t>simulated-iaas-steady-high-mixed-r04</t>
  </si>
  <si>
    <t>simulated-iaas-steady-high-mixed-r05</t>
  </si>
  <si>
    <t>simulated-iaas-steady-low-mixed-r01</t>
  </si>
  <si>
    <t>simulated-iaas-steady-low-mixed-r02</t>
  </si>
  <si>
    <t>simulated-iaas-steady-low-mixed-r03</t>
  </si>
  <si>
    <t>simulated-iaas-steady-low-mixed-r04</t>
  </si>
  <si>
    <t>simulated-iaas-steady-low-mixed-r05</t>
  </si>
  <si>
    <t>simulated-iaas-steady-medium-mixed-r01</t>
  </si>
  <si>
    <t>simulated-iaas-steady-medium-mixed-r02</t>
  </si>
  <si>
    <t>simulated-iaas-steady-medium-mixed-r03</t>
  </si>
  <si>
    <t>simulated-iaas-steady-medium-mixed-r04</t>
  </si>
  <si>
    <t>simulated-iaas-steady-medium-mixed-r05</t>
  </si>
  <si>
    <t>simulated-paas-burst-burst-mixed-r01</t>
  </si>
  <si>
    <t>paas</t>
  </si>
  <si>
    <t>simulated-paas-burst-burst-mixed-r02</t>
  </si>
  <si>
    <t>simulated-paas-burst-burst-mixed-r03</t>
  </si>
  <si>
    <t>simulated-paas-burst-burst-mixed-r04</t>
  </si>
  <si>
    <t>simulated-paas-burst-burst-mixed-r05</t>
  </si>
  <si>
    <t>simulated-paas-idle-idle-mixed-r01</t>
  </si>
  <si>
    <t>simulated-paas-idle-idle-mixed-r02</t>
  </si>
  <si>
    <t>simulated-paas-idle-idle-mixed-r03</t>
  </si>
  <si>
    <t>simulated-paas-idle-idle-mixed-r04</t>
  </si>
  <si>
    <t>simulated-paas-idle-idle-mixed-r05</t>
  </si>
  <si>
    <t>simulated-paas-steady-high-mixed-r01</t>
  </si>
  <si>
    <t>simulated-paas-steady-high-mixed-r02</t>
  </si>
  <si>
    <t>simulated-paas-steady-high-mixed-r03</t>
  </si>
  <si>
    <t>simulated-paas-steady-high-mixed-r04</t>
  </si>
  <si>
    <t>simulated-paas-steady-high-mixed-r05</t>
  </si>
  <si>
    <t>simulated-paas-steady-low-mixed-r01</t>
  </si>
  <si>
    <t>simulated-paas-steady-low-mixed-r02</t>
  </si>
  <si>
    <t>simulated-paas-steady-low-mixed-r03</t>
  </si>
  <si>
    <t>simulated-paas-steady-low-mixed-r04</t>
  </si>
  <si>
    <t>simulated-paas-steady-low-mixed-r05</t>
  </si>
  <si>
    <t>simulated-paas-steady-medium-mixed-r01</t>
  </si>
  <si>
    <t>simulated-paas-steady-medium-mixed-r02</t>
  </si>
  <si>
    <t>simulated-paas-steady-medium-mixed-r03</t>
  </si>
  <si>
    <t>simulated-paas-steady-medium-mixed-r04</t>
  </si>
  <si>
    <t>simulated-paas-steady-medium-mixed-r05</t>
  </si>
  <si>
    <t>Confidence</t>
  </si>
  <si>
    <t>results\processed\demo\comparison.csv</t>
  </si>
  <si>
    <t>metric</t>
  </si>
  <si>
    <t>estimate</t>
  </si>
  <si>
    <t>ci_lower</t>
  </si>
  <si>
    <t>ci_upper</t>
  </si>
  <si>
    <t>number_of_runs</t>
  </si>
  <si>
    <t>bootstrap_method</t>
  </si>
  <si>
    <t>resamples</t>
  </si>
  <si>
    <t>sample_size</t>
  </si>
  <si>
    <t>estimand</t>
  </si>
  <si>
    <t>percentile_bootstrap_of_independent_run_means</t>
  </si>
  <si>
    <t>OK</t>
  </si>
  <si>
    <t>mean_of_run_statistics</t>
  </si>
  <si>
    <t>FEW_RUNS</t>
  </si>
  <si>
    <t>Cold Warm</t>
  </si>
  <si>
    <t>results\processed\demo\cold_warm.csv</t>
  </si>
  <si>
    <t>classification</t>
  </si>
  <si>
    <t>tail_warning</t>
  </si>
  <si>
    <t>handler_mean_ms</t>
  </si>
  <si>
    <t>wall_mean_ms</t>
  </si>
  <si>
    <t>confirmed_warm</t>
  </si>
  <si>
    <t>p95 requires &gt;=20, p99 requires &gt;=1000 samples; no guarantees at these minimums</t>
  </si>
  <si>
    <t>unknown</t>
  </si>
  <si>
    <t>confirmed_cold</t>
  </si>
  <si>
    <t>Scaling</t>
  </si>
  <si>
    <t>results\processed\demo\scaling.csv</t>
  </si>
  <si>
    <t>scale_out_seconds</t>
  </si>
  <si>
    <t>scale_out_lower_seconds</t>
  </si>
  <si>
    <t>scale_out_upper_seconds</t>
  </si>
  <si>
    <t>baseline_instances</t>
  </si>
  <si>
    <t>peak_instances</t>
  </si>
  <si>
    <t>recovery_seconds</t>
  </si>
  <si>
    <t>sampling_seconds</t>
  </si>
  <si>
    <t>burst_started_at</t>
  </si>
  <si>
    <t>observed_increase_at</t>
  </si>
  <si>
    <t>peak_at</t>
  </si>
  <si>
    <t>OBSERVED_INTERVAL</t>
  </si>
  <si>
    <t>2026-10-01T10:00:06+00:00</t>
  </si>
  <si>
    <t>2026-10-01T10:01:00+00:00</t>
  </si>
  <si>
    <t>2026-10-02T01:00:06+00:00</t>
  </si>
  <si>
    <t>2026-10-02T01:01:00+00:00</t>
  </si>
  <si>
    <t>2026-10-02T16:00:06+00:00</t>
  </si>
  <si>
    <t>2026-10-02T16:01:00+00:00</t>
  </si>
  <si>
    <t>2026-10-03T07:00:06+00:00</t>
  </si>
  <si>
    <t>2026-10-03T07:01:00+00:00</t>
  </si>
  <si>
    <t>2026-10-03T21:00:06+00:00</t>
  </si>
  <si>
    <t>2026-10-03T21:01:00+00:00</t>
  </si>
  <si>
    <t>NOT_APPLICABLE_SCENARIO</t>
  </si>
  <si>
    <t>NOT_APPLICABLE_FIXED_VM</t>
  </si>
  <si>
    <t>2026-10-01T09:00:06+00:00</t>
  </si>
  <si>
    <t>2026-10-01T09:01:00+00:00</t>
  </si>
  <si>
    <t>2026-10-02T00:00:06+00:00</t>
  </si>
  <si>
    <t>2026-10-02T00:01:00+00:00</t>
  </si>
  <si>
    <t>2026-10-02T15:00:06+00:00</t>
  </si>
  <si>
    <t>2026-10-02T15:01:00+00:00</t>
  </si>
  <si>
    <t>2026-10-03T08:00:06+00:00</t>
  </si>
  <si>
    <t>2026-10-03T08:01:00+00:00</t>
  </si>
  <si>
    <t>2026-10-03T23:00:06+00:00</t>
  </si>
  <si>
    <t>2026-10-03T23:01:00+00:00</t>
  </si>
  <si>
    <t>Burst Phases</t>
  </si>
  <si>
    <t>results\processed\demo\burst_phases.csv</t>
  </si>
  <si>
    <t>stage</t>
  </si>
  <si>
    <t>baseline</t>
  </si>
  <si>
    <t>hold</t>
  </si>
  <si>
    <t>ramp_down</t>
  </si>
  <si>
    <t>ramp_up</t>
  </si>
  <si>
    <t>recovery</t>
  </si>
  <si>
    <t>Errors</t>
  </si>
  <si>
    <t>results\processed\demo\errors.csv</t>
  </si>
  <si>
    <t>error_type</t>
  </si>
  <si>
    <t>business_error</t>
  </si>
  <si>
    <t>none</t>
  </si>
  <si>
    <t>http_error</t>
  </si>
  <si>
    <t>transport_or_timeout</t>
  </si>
  <si>
    <t>Cost Breakdown</t>
  </si>
  <si>
    <t>results\financial\demo\cost_breakdown.csv</t>
  </si>
  <si>
    <t>level</t>
  </si>
  <si>
    <t>component</t>
  </si>
  <si>
    <t>usd</t>
  </si>
  <si>
    <t>firestore_read</t>
  </si>
  <si>
    <t>firestore_write</t>
  </si>
  <si>
    <t>firestore_delete</t>
  </si>
  <si>
    <t>firestore_storage</t>
  </si>
  <si>
    <t>firestore_network_optional</t>
  </si>
  <si>
    <t>network</t>
  </si>
  <si>
    <t>logging</t>
  </si>
  <si>
    <t>monitoring</t>
  </si>
  <si>
    <t>build</t>
  </si>
  <si>
    <t>artifact</t>
  </si>
  <si>
    <t>backup_auxiliary</t>
  </si>
  <si>
    <t>labor</t>
  </si>
  <si>
    <t>compute</t>
  </si>
  <si>
    <t>disk</t>
  </si>
  <si>
    <t>external_ip</t>
  </si>
  <si>
    <t>compute_cpu</t>
  </si>
  <si>
    <t>compute_memory</t>
  </si>
  <si>
    <t>requests</t>
  </si>
  <si>
    <t>Cost Summary</t>
  </si>
  <si>
    <t>Cost comparison | formula-linked totals</t>
  </si>
  <si>
    <t>results\financial\demo\cost_levels.csv; totals recalculate from Cost Breakdown</t>
  </si>
  <si>
    <t>Cost Summary and Cost Breakdown; USD/month estimates; capacity separately validated</t>
  </si>
  <si>
    <t>monthly_requests</t>
  </si>
  <si>
    <t>python_total_usd</t>
  </si>
  <si>
    <t>python_compute_usd</t>
  </si>
  <si>
    <t>python_shared_usd</t>
  </si>
  <si>
    <t>python_without_shared_usd</t>
  </si>
  <si>
    <t>python_unit_usd</t>
  </si>
  <si>
    <t>capacity_status</t>
  </si>
  <si>
    <t>calculated_total_usd</t>
  </si>
  <si>
    <t>difference_usd</t>
  </si>
  <si>
    <t>check</t>
  </si>
  <si>
    <t>lookup_key</t>
  </si>
  <si>
    <t>Low USD</t>
  </si>
  <si>
    <t>Medium USD</t>
  </si>
  <si>
    <t>High USD</t>
  </si>
  <si>
    <t>UNVERIFIED</t>
  </si>
  <si>
    <t>ESTIMATED_SUPPORTED</t>
  </si>
  <si>
    <t>Sensitivity</t>
  </si>
  <si>
    <t>results\financial\demo\sensitivity.csv — frozen Python scenario runs; rerun CLI after edits</t>
  </si>
  <si>
    <t>parameter</t>
  </si>
  <si>
    <t>direction</t>
  </si>
  <si>
    <t>base_usd</t>
  </si>
  <si>
    <t>total_usd</t>
  </si>
  <si>
    <t>delta_usd</t>
  </si>
  <si>
    <t>note</t>
  </si>
  <si>
    <t>cpu_execution_time</t>
  </si>
  <si>
    <t>memory_gib</t>
  </si>
  <si>
    <t>IaaS memory/concurrency change needs a separately priced VM/config</t>
  </si>
  <si>
    <t>read_ratio</t>
  </si>
  <si>
    <t>response_bytes</t>
  </si>
  <si>
    <t>concurrency</t>
  </si>
  <si>
    <t>peak_to_average</t>
  </si>
  <si>
    <t>active_hours_per_day</t>
  </si>
  <si>
    <t>min_instances</t>
  </si>
  <si>
    <t>price_multiplier</t>
  </si>
  <si>
    <t>labor_usd_per_hour</t>
  </si>
  <si>
    <t>Pricing Sources</t>
  </si>
  <si>
    <t>configs/pricing_catalog.yaml; reports/sources/source_manifest.json</t>
  </si>
  <si>
    <t>key</t>
  </si>
  <si>
    <t>service</t>
  </si>
  <si>
    <t>sku_description</t>
  </si>
  <si>
    <t>unit</t>
  </si>
  <si>
    <t>unit_price_usd</t>
  </si>
  <si>
    <t>region</t>
  </si>
  <si>
    <t>retrieved_date</t>
  </si>
  <si>
    <t>effective_date</t>
  </si>
  <si>
    <t>source_url</t>
  </si>
  <si>
    <t>vm_hour</t>
  </si>
  <si>
    <t>Compute Engine</t>
  </si>
  <si>
    <t>E2 standard 2 vCPU 8 GiB on-demand Linux</t>
  </si>
  <si>
    <t>VM-hour</t>
  </si>
  <si>
    <t>asia-southeast1</t>
  </si>
  <si>
    <t>2026-10-31</t>
  </si>
  <si>
    <t>https://cloud.google.com/products/compute/pricing/general-purpose</t>
  </si>
  <si>
    <t>PUBLIC_LIST_PRICE_SNAPSHOT</t>
  </si>
  <si>
    <t>run_cpu_request</t>
  </si>
  <si>
    <t>Cloud Run</t>
  </si>
  <si>
    <t>Active CPU request-based Singapore</t>
  </si>
  <si>
    <t>vCPU-second</t>
  </si>
  <si>
    <t>https://cloud.google.com/run/pricing</t>
  </si>
  <si>
    <t>run_memory_request</t>
  </si>
  <si>
    <t>Active memory request-based Singapore</t>
  </si>
  <si>
    <t>GiB-second</t>
  </si>
  <si>
    <t>run_cpu_idle</t>
  </si>
  <si>
    <t>Minimum instance idle CPU Singapore</t>
  </si>
  <si>
    <t>run_memory_idle</t>
  </si>
  <si>
    <t>Minimum instance idle memory Singapore</t>
  </si>
  <si>
    <t>run_cpu_instance</t>
  </si>
  <si>
    <t>Instance based CPU Singapore</t>
  </si>
  <si>
    <t>run_memory_instance</t>
  </si>
  <si>
    <t>Instance based memory Singapore</t>
  </si>
  <si>
    <t>run_request</t>
  </si>
  <si>
    <t>HTTP requests</t>
  </si>
  <si>
    <t>request</t>
  </si>
  <si>
    <t>Firestore</t>
  </si>
  <si>
    <t>Document read Singapore Standard</t>
  </si>
  <si>
    <t>operation</t>
  </si>
  <si>
    <t>https://cloud.google.com/firestore/pricing</t>
  </si>
  <si>
    <t>Document write Singapore Standard</t>
  </si>
  <si>
    <t>Document delete Singapore Standard</t>
  </si>
  <si>
    <t>Stored data Singapore Standard</t>
  </si>
  <si>
    <t>GiB-month</t>
  </si>
  <si>
    <t>disk_gib_month</t>
  </si>
  <si>
    <t>Standard zonal persistent disk Singapore</t>
  </si>
  <si>
    <t>https://cloud.google.com/compute/disks-image-pricing</t>
  </si>
  <si>
    <t>ipv4_hour</t>
  </si>
  <si>
    <t>VPC</t>
  </si>
  <si>
    <t>In-use external IPv4 standard VM</t>
  </si>
  <si>
    <t>IP-hour</t>
  </si>
  <si>
    <t>https://cloud.google.com/vpc/network-pricing</t>
  </si>
  <si>
    <t>MISSING_UPDATE_BEFORE_USE</t>
  </si>
  <si>
    <t>egress_gib</t>
  </si>
  <si>
    <t>Network</t>
  </si>
  <si>
    <t>User selected destination and route</t>
  </si>
  <si>
    <t>GiB</t>
  </si>
  <si>
    <t>logging_gib</t>
  </si>
  <si>
    <t>Observability</t>
  </si>
  <si>
    <t>Logging storage ingestion</t>
  </si>
  <si>
    <t>https://cloud.google.com/stackdriver/pricing</t>
  </si>
  <si>
    <t>monitoring_mib</t>
  </si>
  <si>
    <t>User selected billable metrics</t>
  </si>
  <si>
    <t>MiB</t>
  </si>
  <si>
    <t>build_minute</t>
  </si>
  <si>
    <t>Cloud Build</t>
  </si>
  <si>
    <t>User selected build machine</t>
  </si>
  <si>
    <t>minute</t>
  </si>
  <si>
    <t>https://cloud.google.com/build/pricing</t>
  </si>
  <si>
    <t>artifact_gib_month</t>
  </si>
  <si>
    <t>Artifact Registry</t>
  </si>
  <si>
    <t>Artifact storage</t>
  </si>
  <si>
    <t>https://cloud.google.com/artifact-registry/pricing</t>
  </si>
  <si>
    <t>Assumptions</t>
  </si>
  <si>
    <t>results\financial\demo\workload_assumptions.json</t>
  </si>
  <si>
    <t>value</t>
  </si>
  <si>
    <t>source</t>
  </si>
  <si>
    <t>configs/cost_workloads.yaml</t>
  </si>
  <si>
    <t>Snapshot; change YAML and rerun cost/export. Not a live Excel occupancy model.</t>
  </si>
  <si>
    <t>label</t>
  </si>
  <si>
    <t>traffic_levels.low</t>
  </si>
  <si>
    <t>traffic_levels.medium</t>
  </si>
  <si>
    <t>traffic_levels.high</t>
  </si>
  <si>
    <t>assumptions.mix.read</t>
  </si>
  <si>
    <t>assumptions.mix.write</t>
  </si>
  <si>
    <t>assumptions.mix.cpu</t>
  </si>
  <si>
    <t>assumptions.mean_duration_seconds.read</t>
  </si>
  <si>
    <t>assumptions.mean_duration_seconds.write</t>
  </si>
  <si>
    <t>assumptions.mean_duration_seconds.cpu</t>
  </si>
  <si>
    <t>assumptions.mean_cpu_seconds.read</t>
  </si>
  <si>
    <t>assumptions.mean_cpu_seconds.write</t>
  </si>
  <si>
    <t>assumptions.mean_cpu_seconds.cpu</t>
  </si>
  <si>
    <t>assumptions.days</t>
  </si>
  <si>
    <t>assumptions.vm_hours</t>
  </si>
  <si>
    <t>assumptions.distribution</t>
  </si>
  <si>
    <t>uniform</t>
  </si>
  <si>
    <t>assumptions.active_hours_per_day</t>
  </si>
  <si>
    <t>assumptions.peak_to_average</t>
  </si>
  <si>
    <t>assumptions.idle_ratio</t>
  </si>
  <si>
    <t>assumptions.response_bytes</t>
  </si>
  <si>
    <t>assumptions.internet_egress_fraction</t>
  </si>
  <si>
    <t>assumptions.firestore_reads_per_get</t>
  </si>
  <si>
    <t>assumptions.firestore_writes_per_post</t>
  </si>
  <si>
    <t>assumptions.firestore_deletes_per_request</t>
  </si>
  <si>
    <t>assumptions.firestore_index_read_batches_per_get</t>
  </si>
  <si>
    <t>assumptions.firestore_retry_multiplier</t>
  </si>
  <si>
    <t>assumptions.firestore_storage_gib</t>
  </si>
  <si>
    <t>assumptions.firestore_network_usd</t>
  </si>
  <si>
    <t>assumptions.firestore_optional_usd</t>
  </si>
  <si>
    <t>assumptions.disk_gib</t>
  </si>
  <si>
    <t>assumptions.external_ipv4_count</t>
  </si>
  <si>
    <t>assumptions.logging_gib</t>
  </si>
  <si>
    <t>assumptions.monitoring_mib</t>
  </si>
  <si>
    <t>assumptions.artifact_gib</t>
  </si>
  <si>
    <t>assumptions.build_minutes</t>
  </si>
  <si>
    <t>assumptions.backup_usd</t>
  </si>
  <si>
    <t>assumptions.auxiliary_usd</t>
  </si>
  <si>
    <t>assumptions.labor_usd_per_hour</t>
  </si>
  <si>
    <t>assumptions.price_multiplier</t>
  </si>
  <si>
    <t>assumptions.free_tier</t>
  </si>
  <si>
    <t>assumptions.free_tier_eligible</t>
  </si>
  <si>
    <t>assumptions.free_tier_remaining_fraction</t>
  </si>
  <si>
    <t>assumptions.firestore_free_eligible</t>
  </si>
  <si>
    <t>assumptions.free_tier_scope</t>
  </si>
  <si>
    <t>mutually_exclusive_alternatives</t>
  </si>
  <si>
    <t>models.iaas.billing_mode</t>
  </si>
  <si>
    <t>vm</t>
  </si>
  <si>
    <t>models.iaas.vm_count</t>
  </si>
  <si>
    <t>models.iaas.capacity_rps</t>
  </si>
  <si>
    <t>models.iaas.labor_hours</t>
  </si>
  <si>
    <t>models.paas.billing_mode</t>
  </si>
  <si>
    <t>models.paas.vcpu</t>
  </si>
  <si>
    <t>models.paas.memory_gib</t>
  </si>
  <si>
    <t>models.paas.concurrency</t>
  </si>
  <si>
    <t>models.paas.min_instances</t>
  </si>
  <si>
    <t>models.paas.max_instances</t>
  </si>
  <si>
    <t>models.paas.target_cpu_utilization</t>
  </si>
  <si>
    <t>models.paas.startup_count</t>
  </si>
  <si>
    <t>models.paas.startup_seconds</t>
  </si>
  <si>
    <t>models.paas.shutdown_seconds</t>
  </si>
  <si>
    <t>models.paas.scale_down_tail_seconds</t>
  </si>
  <si>
    <t>models.paas.labor_hours</t>
  </si>
  <si>
    <t>models.paas.measured_active_instance_seconds</t>
  </si>
  <si>
    <t>models.paas.measured_lifetime_instance_seconds</t>
  </si>
  <si>
    <t>models.faas.billing_mode</t>
  </si>
  <si>
    <t>models.faas.vcpu</t>
  </si>
  <si>
    <t>models.faas.memory_gib</t>
  </si>
  <si>
    <t>models.faas.concurrency</t>
  </si>
  <si>
    <t>models.faas.min_instances</t>
  </si>
  <si>
    <t>models.faas.max_instances</t>
  </si>
  <si>
    <t>models.faas.target_cpu_utilization</t>
  </si>
  <si>
    <t>models.faas.startup_count</t>
  </si>
  <si>
    <t>models.faas.startup_seconds</t>
  </si>
  <si>
    <t>models.faas.shutdown_seconds</t>
  </si>
  <si>
    <t>models.faas.scale_down_tail_seconds</t>
  </si>
  <si>
    <t>models.faas.labor_hours</t>
  </si>
  <si>
    <t>models.faas.measured_active_instance_seconds</t>
  </si>
  <si>
    <t>models.faas.measured_lifetime_instance_seconds</t>
  </si>
  <si>
    <t>Break Even</t>
  </si>
  <si>
    <t>results\financial\demo\break_even.json</t>
  </si>
  <si>
    <t>left</t>
  </si>
  <si>
    <t>right</t>
  </si>
  <si>
    <t>roots_requests</t>
  </si>
  <si>
    <t>coincident_intervals</t>
  </si>
  <si>
    <t>discontinuities</t>
  </si>
  <si>
    <t>limitation</t>
  </si>
  <si>
    <t>ROOTS_FOUND</t>
  </si>
  <si>
    <t>[22234780.990233496]</t>
  </si>
  <si>
    <t>[]</t>
  </si>
  <si>
    <t>finite search cannot guarantee every narrow/tangent intersection</t>
  </si>
  <si>
    <t>COINCIDENT_INTERVAL</t>
  </si>
  <si>
    <t>[[0.0, 1000000000.0]]</t>
  </si>
  <si>
    <t>Method and Provenance</t>
  </si>
  <si>
    <t>README.md; reports/methodology.md; docs/metric_definitions.md</t>
  </si>
  <si>
    <t>item</t>
  </si>
  <si>
    <t>description</t>
  </si>
  <si>
    <t>Data mode</t>
  </si>
  <si>
    <t>Raw data</t>
  </si>
  <si>
    <t>C:\Users\Admin\Downloads\deadlinePhucHoang\demo_data</t>
  </si>
  <si>
    <t>Units</t>
  </si>
  <si>
    <t>Latency ms; durations s; throughput req/s; money USD/month; ratios already in percent where _pct</t>
  </si>
  <si>
    <t>Statistics</t>
  </si>
  <si>
    <t>Per-run metric snapshots; CI from independent-run bootstrap, not pooled request percentiles</t>
  </si>
  <si>
    <t>Raw requests</t>
  </si>
  <si>
    <t>results\processed\demo\requests.csv; original JSONL retained under dataset raw/</t>
  </si>
  <si>
    <t>Outliers and errors</t>
  </si>
  <si>
    <t>Retained. Invalid/conflicting records quarantined; see quality.json</t>
  </si>
  <si>
    <t>Cold scope</t>
  </si>
  <si>
    <t>Process-first != infrastructure cold. Confirmed needs independent platform evidence</t>
  </si>
  <si>
    <t>Scaling scope</t>
  </si>
  <si>
    <t>Minute samples; interval bounds. IaaS fixed VM = N/A</t>
  </si>
  <si>
    <t>Cost scope</t>
  </si>
  <si>
    <t>Estimate from public prices + explicit workload assumptions, not invoice</t>
  </si>
  <si>
    <t>Workbook calculations</t>
  </si>
  <si>
    <t>Overview and cost reconciliation are Excel formulas. Complex model/CI are frozen Python outputs</t>
  </si>
  <si>
    <t>Refresh</t>
  </si>
  <si>
    <t>Run analyze -&gt; cost -&gt; export. Excel fullCalcOnLoad recalculates formula summaries</t>
  </si>
  <si>
    <t>Excel colors</t>
  </si>
  <si>
    <t>Blue inputs/selectors; green worksheet references; black calculations; amber missing/DEMO</t>
  </si>
  <si>
    <t>Real measurement</t>
  </si>
  <si>
    <t>NOT EXECUTED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</si>
</sst>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00;[Red]\(&quot;$&quot;#,##0.0000\);&quot;$&quot;0.0000"/>
    <numFmt numFmtId="165" formatCode="&quot;$&quot;0.000000"/>
    <numFmt numFmtId="166" formatCode="&quot;$&quot;0.000000000"/>
    <numFmt numFmtId="167" formatCode="&quot;$&quot;#,##0.00"/>
    <numFmt numFmtId="168" formatCode="&quot;$&quot;0.00"/>
  </numFmts>
  <fonts count="16" x14ac:knownFonts="1">
    <font>
      <sz val="11"/>
      <color theme="1"/>
      <name val="Calibri"/>
      <family val="2"/>
      <scheme val="minor"/>
    </font>
    <font>
      <b/>
      <sz val="19"/>
      <color rgb="FFFFFFFF"/>
      <name val="Calibri"/>
    </font>
    <font>
      <b/>
      <sz val="10"/>
      <color rgb="FF92400E"/>
      <name val="Calibri"/>
    </font>
    <font>
      <sz val="10"/>
      <color rgb="FF475569"/>
      <name val="Calibri"/>
    </font>
    <font>
      <b/>
      <sz val="10"/>
      <color rgb="FFFFFFFF"/>
      <name val="Calibri"/>
    </font>
    <font>
      <sz val="10"/>
      <color rgb="FF142B4A"/>
      <name val="Calibri"/>
    </font>
    <font>
      <u/>
      <sz val="10"/>
      <color rgb="FF2563A6"/>
      <name val="Calibri"/>
    </font>
    <font>
      <sz val="10"/>
      <color rgb="FF008000"/>
      <name val="Calibri"/>
    </font>
    <font>
      <sz val="10"/>
      <color rgb="FF000000"/>
      <name val="Calibri"/>
    </font>
    <font>
      <b/>
      <sz val="11"/>
      <color rgb="FF0000FF"/>
      <name val="Calibri"/>
    </font>
    <font>
      <b/>
      <sz val="12"/>
      <color rgb="FF2563A6"/>
      <name val="Calibri"/>
    </font>
    <font>
      <sz val="12"/>
      <color rgb="FF008000"/>
      <name val="Calibri"/>
    </font>
    <font>
      <b/>
      <sz val="12"/>
      <color rgb="FFDB7A25"/>
      <name val="Calibri"/>
    </font>
    <font>
      <b/>
      <sz val="12"/>
      <color rgb="FF16856B"/>
      <name val="Calibri"/>
    </font>
    <font>
      <b/>
      <sz val="11"/>
      <color rgb="FF92400E"/>
      <name val="Calibri"/>
    </font>
    <font>
      <b/>
      <sz val="13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42B4A"/>
      </patternFill>
    </fill>
    <fill>
      <patternFill patternType="solid">
        <fgColor rgb="FFFEF3C7"/>
      </patternFill>
    </fill>
    <fill>
      <patternFill patternType="solid">
        <fgColor rgb="FFF1F5F9"/>
      </patternFill>
    </fill>
    <fill>
      <patternFill patternType="solid">
        <fgColor rgb="FF2563A6"/>
      </patternFill>
    </fill>
    <fill>
      <patternFill patternType="solid">
        <fgColor rgb="FFDBEAFE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9" fillId="6" borderId="0" xfId="0" applyFont="1" applyFill="1"/>
    <xf numFmtId="0" fontId="4" fillId="5" borderId="0" xfId="0" applyFont="1" applyFill="1" applyAlignment="1">
      <alignment vertical="center" wrapText="1"/>
    </xf>
    <xf numFmtId="0" fontId="10" fillId="4" borderId="0" xfId="0" applyFont="1" applyFill="1" applyAlignment="1">
      <alignment vertical="center" wrapText="1"/>
    </xf>
    <xf numFmtId="2" fontId="11" fillId="4" borderId="0" xfId="0" applyNumberFormat="1" applyFont="1" applyFill="1" applyAlignment="1">
      <alignment vertical="center" wrapText="1"/>
    </xf>
    <xf numFmtId="167" fontId="11" fillId="4" borderId="0" xfId="0" applyNumberFormat="1" applyFont="1" applyFill="1" applyAlignment="1">
      <alignment vertical="center" wrapText="1"/>
    </xf>
    <xf numFmtId="0" fontId="12" fillId="7" borderId="0" xfId="0" applyFont="1" applyFill="1" applyAlignment="1">
      <alignment vertical="center" wrapText="1"/>
    </xf>
    <xf numFmtId="2" fontId="11" fillId="7" borderId="0" xfId="0" applyNumberFormat="1" applyFont="1" applyFill="1" applyAlignment="1">
      <alignment vertical="center" wrapText="1"/>
    </xf>
    <xf numFmtId="167" fontId="11" fillId="7" borderId="0" xfId="0" applyNumberFormat="1" applyFont="1" applyFill="1" applyAlignment="1">
      <alignment vertical="center" wrapText="1"/>
    </xf>
    <xf numFmtId="0" fontId="13" fillId="4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3" fontId="5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164" fontId="5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165" fontId="8" fillId="0" borderId="0" xfId="0" applyNumberFormat="1" applyFont="1" applyAlignment="1">
      <alignment vertical="center"/>
    </xf>
    <xf numFmtId="168" fontId="0" fillId="0" borderId="0" xfId="0" applyNumberFormat="1"/>
    <xf numFmtId="166" fontId="5" fillId="0" borderId="0" xfId="0" applyNumberFormat="1" applyFont="1" applyAlignment="1">
      <alignment vertical="center"/>
    </xf>
    <xf numFmtId="166" fontId="5" fillId="3" borderId="0" xfId="0" applyNumberFormat="1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0" fillId="0" borderId="0" xfId="0"/>
    <xf numFmtId="0" fontId="14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15" fillId="2" borderId="0" xfId="0" applyFont="1" applyFill="1" applyAlignment="1">
      <alignment vertical="center" wrapText="1"/>
    </xf>
  </cellXfs>
  <cellStyles count="1">
    <cellStyle name="Normal" xfId="0" builtinId="0"/>
  </cellStyles>
  <dxfs count="1">
    <dxf>
      <fill>
        <patternFill patternType="solid">
          <fgColor rgb="FFFEE2E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Mean run p95 • selected cohort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Overview!$D$5</c:f>
              <c:strCache>
                <c:ptCount val="1"/>
                <c:pt idx="0">
                  <c:v>Mean run p95 (ms)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2563A6"/>
              </a:solidFill>
              <a:ln>
                <a:solidFill>
                  <a:srgbClr val="2563A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6EB-4DBC-8297-A858229B8DEE}"/>
              </c:ext>
            </c:extLst>
          </c:dPt>
          <c:dPt>
            <c:idx val="1"/>
            <c:invertIfNegative val="1"/>
            <c:bubble3D val="0"/>
            <c:spPr>
              <a:solidFill>
                <a:srgbClr val="DB7A25"/>
              </a:solidFill>
              <a:ln>
                <a:solidFill>
                  <a:srgbClr val="DB7A2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6EB-4DBC-8297-A858229B8DEE}"/>
              </c:ext>
            </c:extLst>
          </c:dPt>
          <c:dPt>
            <c:idx val="2"/>
            <c:invertIfNegative val="1"/>
            <c:bubble3D val="0"/>
            <c:spPr>
              <a:solidFill>
                <a:srgbClr val="16856B"/>
              </a:solidFill>
              <a:ln>
                <a:solidFill>
                  <a:srgbClr val="16856B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6EB-4DBC-8297-A858229B8DEE}"/>
              </c:ext>
            </c:extLst>
          </c:dPt>
          <c:cat>
            <c:strRef>
              <c:f>Overview!$A$6:$A$8</c:f>
              <c:strCache>
                <c:ptCount val="3"/>
                <c:pt idx="0">
                  <c:v>IAAS</c:v>
                </c:pt>
                <c:pt idx="1">
                  <c:v>PAAS</c:v>
                </c:pt>
                <c:pt idx="2">
                  <c:v>FAAS</c:v>
                </c:pt>
              </c:strCache>
            </c:strRef>
          </c:cat>
          <c:val>
            <c:numRef>
              <c:f>Overview!$D$6:$D$8</c:f>
              <c:numCache>
                <c:formatCode>0.00</c:formatCode>
                <c:ptCount val="3"/>
                <c:pt idx="0">
                  <c:v>104.96013043639998</c:v>
                </c:pt>
                <c:pt idx="1">
                  <c:v>112.6246764494382</c:v>
                </c:pt>
                <c:pt idx="2">
                  <c:v>105.32928736626766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6EB-4DBC-8297-A858229B8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Latency (ms)</a:t>
                </a:r>
              </a:p>
            </c:rich>
          </c:tx>
          <c:overlay val="1"/>
        </c:title>
        <c:numFmt formatCode="0.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Estimated monthly cost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'Cost Summary'!$O$5</c:f>
              <c:strCache>
                <c:ptCount val="1"/>
                <c:pt idx="0">
                  <c:v>Low USD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'Cost Summary'!$N$6:$N$8</c:f>
              <c:strCache>
                <c:ptCount val="3"/>
                <c:pt idx="0">
                  <c:v>IAAS</c:v>
                </c:pt>
                <c:pt idx="1">
                  <c:v>PAAS</c:v>
                </c:pt>
                <c:pt idx="2">
                  <c:v>FAAS</c:v>
                </c:pt>
              </c:strCache>
            </c:strRef>
          </c:cat>
          <c:val>
            <c:numRef>
              <c:f>'Cost Summary'!$O$6:$O$8</c:f>
              <c:numCache>
                <c:formatCode>"$"0.00</c:formatCode>
                <c:ptCount val="3"/>
                <c:pt idx="0">
                  <c:v>61.018852199999998</c:v>
                </c:pt>
                <c:pt idx="1">
                  <c:v>0.64437697387050263</c:v>
                </c:pt>
                <c:pt idx="2">
                  <c:v>0.64437697387050263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03-43BA-ADA3-8DB6EA3944F0}"/>
            </c:ext>
          </c:extLst>
        </c:ser>
        <c:ser>
          <c:idx val="1"/>
          <c:order val="1"/>
          <c:tx>
            <c:strRef>
              <c:f>'Cost Summary'!$P$5</c:f>
              <c:strCache>
                <c:ptCount val="1"/>
                <c:pt idx="0">
                  <c:v>Medium USD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'Cost Summary'!$N$6:$N$8</c:f>
              <c:strCache>
                <c:ptCount val="3"/>
                <c:pt idx="0">
                  <c:v>IAAS</c:v>
                </c:pt>
                <c:pt idx="1">
                  <c:v>PAAS</c:v>
                </c:pt>
                <c:pt idx="2">
                  <c:v>FAAS</c:v>
                </c:pt>
              </c:strCache>
            </c:strRef>
          </c:cat>
          <c:val>
            <c:numRef>
              <c:f>'Cost Summary'!$P$6:$P$8</c:f>
              <c:numCache>
                <c:formatCode>"$"0.00</c:formatCode>
                <c:ptCount val="3"/>
                <c:pt idx="0">
                  <c:v>61.930282199999994</c:v>
                </c:pt>
                <c:pt idx="1">
                  <c:v>8.9718687518012672</c:v>
                </c:pt>
                <c:pt idx="2">
                  <c:v>8.9718687518012672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03-43BA-ADA3-8DB6EA3944F0}"/>
            </c:ext>
          </c:extLst>
        </c:ser>
        <c:ser>
          <c:idx val="2"/>
          <c:order val="2"/>
          <c:tx>
            <c:strRef>
              <c:f>'Cost Summary'!$Q$5</c:f>
              <c:strCache>
                <c:ptCount val="1"/>
                <c:pt idx="0">
                  <c:v>High USD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'Cost Summary'!$N$6:$N$8</c:f>
              <c:strCache>
                <c:ptCount val="3"/>
                <c:pt idx="0">
                  <c:v>IAAS</c:v>
                </c:pt>
                <c:pt idx="1">
                  <c:v>PAAS</c:v>
                </c:pt>
                <c:pt idx="2">
                  <c:v>FAAS</c:v>
                </c:pt>
              </c:strCache>
            </c:strRef>
          </c:cat>
          <c:val>
            <c:numRef>
              <c:f>'Cost Summary'!$Q$6:$Q$8</c:f>
              <c:numCache>
                <c:formatCode>"$"0.00</c:formatCode>
                <c:ptCount val="3"/>
                <c:pt idx="0">
                  <c:v>70.5648822</c:v>
                </c:pt>
                <c:pt idx="1">
                  <c:v>66.233804443394305</c:v>
                </c:pt>
                <c:pt idx="2">
                  <c:v>66.233804443394305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03-43BA-ADA3-8DB6EA394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USD / month</a:t>
                </a:r>
              </a:p>
            </c:rich>
          </c:tx>
          <c:overlay val="1"/>
        </c:title>
        <c:numFmt formatCode="&quot;$&quot;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1008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10</xdr:row>
      <xdr:rowOff>0</xdr:rowOff>
    </xdr:from>
    <xdr:ext cx="90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PerRun" displayName="TPerRun" ref="A5:AH304">
  <autoFilter ref="A5:AH304" xr:uid="{00000000-0009-0000-0100-000001000000}"/>
  <tableColumns count="34">
    <tableColumn id="1" xr3:uid="{00000000-0010-0000-0000-000001000000}" name="data_mode"/>
    <tableColumn id="2" xr3:uid="{00000000-0010-0000-0000-000002000000}" name="run_id"/>
    <tableColumn id="3" xr3:uid="{00000000-0010-0000-0000-000003000000}" name="model"/>
    <tableColumn id="4" xr3:uid="{00000000-0010-0000-0000-000004000000}" name="scenario"/>
    <tableColumn id="5" xr3:uid="{00000000-0010-0000-0000-000005000000}" name="load_level"/>
    <tableColumn id="6" xr3:uid="{00000000-0010-0000-0000-000006000000}" name="endpoint"/>
    <tableColumn id="7" xr3:uid="{00000000-0010-0000-0000-000007000000}" name="repeat"/>
    <tableColumn id="8" xr3:uid="{00000000-0010-0000-0000-000008000000}" name="request_count"/>
    <tableColumn id="9" xr3:uid="{00000000-0010-0000-0000-000009000000}" name="success_count"/>
    <tableColumn id="10" xr3:uid="{00000000-0010-0000-0000-00000A000000}" name="failure_count"/>
    <tableColumn id="11" xr3:uid="{00000000-0010-0000-0000-00000B000000}" name="unknown_outcome_count"/>
    <tableColumn id="12" xr3:uid="{00000000-0010-0000-0000-00000C000000}" name="mean_ms"/>
    <tableColumn id="13" xr3:uid="{00000000-0010-0000-0000-00000D000000}" name="p50_ms"/>
    <tableColumn id="14" xr3:uid="{00000000-0010-0000-0000-00000E000000}" name="p95_ms"/>
    <tableColumn id="15" xr3:uid="{00000000-0010-0000-0000-00000F000000}" name="p99_ms"/>
    <tableColumn id="16" xr3:uid="{00000000-0010-0000-0000-000010000000}" name="min_ms"/>
    <tableColumn id="17" xr3:uid="{00000000-0010-0000-0000-000011000000}" name="max_ms"/>
    <tableColumn id="18" xr3:uid="{00000000-0010-0000-0000-000012000000}" name="std_ms"/>
    <tableColumn id="19" xr3:uid="{00000000-0010-0000-0000-000013000000}" name="cv"/>
    <tableColumn id="20" xr3:uid="{00000000-0010-0000-0000-000014000000}" name="duration_seconds"/>
    <tableColumn id="21" xr3:uid="{00000000-0010-0000-0000-000015000000}" name="offered_rps"/>
    <tableColumn id="22" xr3:uid="{00000000-0010-0000-0000-000016000000}" name="achieved_rps"/>
    <tableColumn id="23" xr3:uid="{00000000-0010-0000-0000-000017000000}" name="cohort_rps"/>
    <tableColumn id="24" xr3:uid="{00000000-0010-0000-0000-000018000000}" name="goodput_rps"/>
    <tableColumn id="25" xr3:uid="{00000000-0010-0000-0000-000019000000}" name="error_rate_pct"/>
    <tableColumn id="26" xr3:uid="{00000000-0010-0000-0000-00001A000000}" name="dropped_iterations"/>
    <tableColumn id="27" xr3:uid="{00000000-0010-0000-0000-00001B000000}" name="dropped_rate_pct"/>
    <tableColumn id="28" xr3:uid="{00000000-0010-0000-0000-00001C000000}" name="cold_count"/>
    <tableColumn id="29" xr3:uid="{00000000-0010-0000-0000-00001D000000}" name="cold_ratio_pct"/>
    <tableColumn id="30" xr3:uid="{00000000-0010-0000-0000-00001E000000}" name="unknown_classification_count"/>
    <tableColumn id="31" xr3:uid="{00000000-0010-0000-0000-00001F000000}" name="valid_for_comparison"/>
    <tableColumn id="32" xr3:uid="{00000000-0010-0000-0000-000020000000}" name="status"/>
    <tableColumn id="33" xr3:uid="{00000000-0010-0000-0000-000021000000}" name="p99_warning"/>
    <tableColumn id="34" xr3:uid="{00000000-0010-0000-0000-000022000000}" name="warn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Confidence" displayName="TConfidence" ref="A5:O257">
  <autoFilter ref="A5:O257" xr:uid="{00000000-0009-0000-0100-000002000000}"/>
  <tableColumns count="15">
    <tableColumn id="1" xr3:uid="{00000000-0010-0000-0100-000001000000}" name="data_mode"/>
    <tableColumn id="2" xr3:uid="{00000000-0010-0000-0100-000002000000}" name="model"/>
    <tableColumn id="3" xr3:uid="{00000000-0010-0000-0100-000003000000}" name="scenario"/>
    <tableColumn id="4" xr3:uid="{00000000-0010-0000-0100-000004000000}" name="load_level"/>
    <tableColumn id="5" xr3:uid="{00000000-0010-0000-0100-000005000000}" name="endpoint"/>
    <tableColumn id="6" xr3:uid="{00000000-0010-0000-0100-000006000000}" name="metric"/>
    <tableColumn id="7" xr3:uid="{00000000-0010-0000-0100-000007000000}" name="estimate"/>
    <tableColumn id="8" xr3:uid="{00000000-0010-0000-0100-000008000000}" name="ci_lower"/>
    <tableColumn id="9" xr3:uid="{00000000-0010-0000-0100-000009000000}" name="ci_upper"/>
    <tableColumn id="10" xr3:uid="{00000000-0010-0000-0100-00000A000000}" name="number_of_runs"/>
    <tableColumn id="11" xr3:uid="{00000000-0010-0000-0100-00000B000000}" name="bootstrap_method"/>
    <tableColumn id="12" xr3:uid="{00000000-0010-0000-0100-00000C000000}" name="resamples"/>
    <tableColumn id="13" xr3:uid="{00000000-0010-0000-0100-00000D000000}" name="status"/>
    <tableColumn id="14" xr3:uid="{00000000-0010-0000-0100-00000E000000}" name="sample_size"/>
    <tableColumn id="15" xr3:uid="{00000000-0010-0000-0100-00000F000000}" name="estiman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ColdWarm" displayName="TColdWarm" ref="A5:R417">
  <autoFilter ref="A5:R417" xr:uid="{00000000-0009-0000-0100-000003000000}"/>
  <tableColumns count="18">
    <tableColumn id="1" xr3:uid="{00000000-0010-0000-0200-000001000000}" name="data_mode"/>
    <tableColumn id="2" xr3:uid="{00000000-0010-0000-0200-000002000000}" name="model"/>
    <tableColumn id="3" xr3:uid="{00000000-0010-0000-0200-000003000000}" name="scenario"/>
    <tableColumn id="4" xr3:uid="{00000000-0010-0000-0200-000004000000}" name="endpoint"/>
    <tableColumn id="5" xr3:uid="{00000000-0010-0000-0200-000005000000}" name="run_id"/>
    <tableColumn id="6" xr3:uid="{00000000-0010-0000-0200-000006000000}" name="classification"/>
    <tableColumn id="7" xr3:uid="{00000000-0010-0000-0200-000007000000}" name="request_count"/>
    <tableColumn id="8" xr3:uid="{00000000-0010-0000-0200-000008000000}" name="mean_ms"/>
    <tableColumn id="9" xr3:uid="{00000000-0010-0000-0200-000009000000}" name="p50_ms"/>
    <tableColumn id="10" xr3:uid="{00000000-0010-0000-0200-00000A000000}" name="p95_ms"/>
    <tableColumn id="11" xr3:uid="{00000000-0010-0000-0200-00000B000000}" name="p99_ms"/>
    <tableColumn id="12" xr3:uid="{00000000-0010-0000-0200-00000C000000}" name="min_ms"/>
    <tableColumn id="13" xr3:uid="{00000000-0010-0000-0200-00000D000000}" name="max_ms"/>
    <tableColumn id="14" xr3:uid="{00000000-0010-0000-0200-00000E000000}" name="std_ms"/>
    <tableColumn id="15" xr3:uid="{00000000-0010-0000-0200-00000F000000}" name="cv"/>
    <tableColumn id="16" xr3:uid="{00000000-0010-0000-0200-000010000000}" name="tail_warning"/>
    <tableColumn id="17" xr3:uid="{00000000-0010-0000-0200-000011000000}" name="handler_mean_ms"/>
    <tableColumn id="18" xr3:uid="{00000000-0010-0000-0200-000012000000}" name="wall_mean_m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Scaling" displayName="TScaling" ref="A5:O80">
  <autoFilter ref="A5:O80" xr:uid="{00000000-0009-0000-0100-000004000000}"/>
  <tableColumns count="15">
    <tableColumn id="1" xr3:uid="{00000000-0010-0000-0300-000001000000}" name="data_mode"/>
    <tableColumn id="2" xr3:uid="{00000000-0010-0000-0300-000002000000}" name="run_id"/>
    <tableColumn id="3" xr3:uid="{00000000-0010-0000-0300-000003000000}" name="model"/>
    <tableColumn id="4" xr3:uid="{00000000-0010-0000-0300-000004000000}" name="scenario"/>
    <tableColumn id="5" xr3:uid="{00000000-0010-0000-0300-000005000000}" name="status"/>
    <tableColumn id="6" xr3:uid="{00000000-0010-0000-0300-000006000000}" name="scale_out_seconds"/>
    <tableColumn id="7" xr3:uid="{00000000-0010-0000-0300-000007000000}" name="scale_out_lower_seconds"/>
    <tableColumn id="8" xr3:uid="{00000000-0010-0000-0300-000008000000}" name="scale_out_upper_seconds"/>
    <tableColumn id="9" xr3:uid="{00000000-0010-0000-0300-000009000000}" name="baseline_instances"/>
    <tableColumn id="10" xr3:uid="{00000000-0010-0000-0300-00000A000000}" name="peak_instances"/>
    <tableColumn id="11" xr3:uid="{00000000-0010-0000-0300-00000B000000}" name="recovery_seconds"/>
    <tableColumn id="12" xr3:uid="{00000000-0010-0000-0300-00000C000000}" name="sampling_seconds"/>
    <tableColumn id="13" xr3:uid="{00000000-0010-0000-0300-00000D000000}" name="burst_started_at"/>
    <tableColumn id="14" xr3:uid="{00000000-0010-0000-0300-00000E000000}" name="observed_increase_at"/>
    <tableColumn id="15" xr3:uid="{00000000-0010-0000-0300-00000F000000}" name="peak_a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urstPhases" displayName="TBurstPhases" ref="A5:I80">
  <autoFilter ref="A5:I80" xr:uid="{00000000-0009-0000-0100-000005000000}"/>
  <tableColumns count="9">
    <tableColumn id="1" xr3:uid="{00000000-0010-0000-0400-000001000000}" name="data_mode"/>
    <tableColumn id="2" xr3:uid="{00000000-0010-0000-0400-000002000000}" name="run_id"/>
    <tableColumn id="3" xr3:uid="{00000000-0010-0000-0400-000003000000}" name="model"/>
    <tableColumn id="4" xr3:uid="{00000000-0010-0000-0400-000004000000}" name="stage"/>
    <tableColumn id="5" xr3:uid="{00000000-0010-0000-0400-000005000000}" name="request_count"/>
    <tableColumn id="6" xr3:uid="{00000000-0010-0000-0400-000006000000}" name="p95_ms"/>
    <tableColumn id="7" xr3:uid="{00000000-0010-0000-0400-000007000000}" name="p99_ms"/>
    <tableColumn id="8" xr3:uid="{00000000-0010-0000-0400-000008000000}" name="error_rate_pct"/>
    <tableColumn id="9" xr3:uid="{00000000-0010-0000-0400-000009000000}" name="cohort_rp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Errors" displayName="TErrors" ref="A5:G87">
  <autoFilter ref="A5:G87" xr:uid="{00000000-0009-0000-0100-000006000000}"/>
  <tableColumns count="7">
    <tableColumn id="1" xr3:uid="{00000000-0010-0000-0500-000001000000}" name="data_mode"/>
    <tableColumn id="2" xr3:uid="{00000000-0010-0000-0500-000002000000}" name="model"/>
    <tableColumn id="3" xr3:uid="{00000000-0010-0000-0500-000003000000}" name="scenario"/>
    <tableColumn id="4" xr3:uid="{00000000-0010-0000-0500-000004000000}" name="endpoint"/>
    <tableColumn id="5" xr3:uid="{00000000-0010-0000-0500-000005000000}" name="status"/>
    <tableColumn id="6" xr3:uid="{00000000-0010-0000-0500-000006000000}" name="error_type"/>
    <tableColumn id="7" xr3:uid="{00000000-0010-0000-0500-000007000000}" name="request_cou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CostBreakdown" displayName="TCostBreakdown" ref="A5:E140">
  <autoFilter ref="A5:E140" xr:uid="{00000000-0009-0000-0100-000007000000}"/>
  <tableColumns count="5">
    <tableColumn id="1" xr3:uid="{00000000-0010-0000-0600-000001000000}" name="level"/>
    <tableColumn id="2" xr3:uid="{00000000-0010-0000-0600-000002000000}" name="data_mode"/>
    <tableColumn id="3" xr3:uid="{00000000-0010-0000-0600-000003000000}" name="model"/>
    <tableColumn id="4" xr3:uid="{00000000-0010-0000-0600-000004000000}" name="component"/>
    <tableColumn id="5" xr3:uid="{00000000-0010-0000-0600-000005000000}" name="us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CostSummary" displayName="TCostSummary" ref="A5:M14">
  <autoFilter ref="A5:M14" xr:uid="{00000000-0009-0000-0100-000008000000}"/>
  <tableColumns count="13">
    <tableColumn id="1" xr3:uid="{00000000-0010-0000-0700-000001000000}" name="level"/>
    <tableColumn id="2" xr3:uid="{00000000-0010-0000-0700-000002000000}" name="model"/>
    <tableColumn id="3" xr3:uid="{00000000-0010-0000-0700-000003000000}" name="monthly_requests"/>
    <tableColumn id="4" xr3:uid="{00000000-0010-0000-0700-000004000000}" name="python_total_usd"/>
    <tableColumn id="5" xr3:uid="{00000000-0010-0000-0700-000005000000}" name="python_compute_usd"/>
    <tableColumn id="6" xr3:uid="{00000000-0010-0000-0700-000006000000}" name="python_shared_usd"/>
    <tableColumn id="7" xr3:uid="{00000000-0010-0000-0700-000007000000}" name="python_without_shared_usd"/>
    <tableColumn id="8" xr3:uid="{00000000-0010-0000-0700-000008000000}" name="python_unit_usd"/>
    <tableColumn id="9" xr3:uid="{00000000-0010-0000-0700-000009000000}" name="capacity_status"/>
    <tableColumn id="10" xr3:uid="{00000000-0010-0000-0700-00000A000000}" name="calculated_total_usd"/>
    <tableColumn id="11" xr3:uid="{00000000-0010-0000-0700-00000B000000}" name="difference_usd"/>
    <tableColumn id="12" xr3:uid="{00000000-0010-0000-0700-00000C000000}" name="check"/>
    <tableColumn id="13" xr3:uid="{00000000-0010-0000-0700-00000D000000}" name="lookup_key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Sensitivity" displayName="TSensitivity" ref="A5:I71">
  <autoFilter ref="A5:I71" xr:uid="{00000000-0009-0000-0100-000009000000}"/>
  <tableColumns count="9">
    <tableColumn id="1" xr3:uid="{00000000-0010-0000-0800-000001000000}" name="data_mode"/>
    <tableColumn id="2" xr3:uid="{00000000-0010-0000-0800-000002000000}" name="model"/>
    <tableColumn id="3" xr3:uid="{00000000-0010-0000-0800-000003000000}" name="parameter"/>
    <tableColumn id="4" xr3:uid="{00000000-0010-0000-0800-000004000000}" name="direction"/>
    <tableColumn id="5" xr3:uid="{00000000-0010-0000-0800-000005000000}" name="base_usd"/>
    <tableColumn id="6" xr3:uid="{00000000-0010-0000-0800-000006000000}" name="total_usd"/>
    <tableColumn id="7" xr3:uid="{00000000-0010-0000-0800-000007000000}" name="delta_usd"/>
    <tableColumn id="8" xr3:uid="{00000000-0010-0000-0800-000008000000}" name="capacity_status"/>
    <tableColumn id="9" xr3:uid="{00000000-0010-0000-0800-000009000000}" name="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PricingSources" displayName="TPricingSources" ref="A5:J24">
  <autoFilter ref="A5:J24" xr:uid="{00000000-0009-0000-0100-00000A000000}"/>
  <tableColumns count="10">
    <tableColumn id="1" xr3:uid="{00000000-0010-0000-0900-000001000000}" name="key"/>
    <tableColumn id="2" xr3:uid="{00000000-0010-0000-0900-000002000000}" name="service"/>
    <tableColumn id="3" xr3:uid="{00000000-0010-0000-0900-000003000000}" name="sku_description"/>
    <tableColumn id="4" xr3:uid="{00000000-0010-0000-0900-000004000000}" name="unit"/>
    <tableColumn id="5" xr3:uid="{00000000-0010-0000-0900-000005000000}" name="unit_price_usd"/>
    <tableColumn id="6" xr3:uid="{00000000-0010-0000-0900-000006000000}" name="region"/>
    <tableColumn id="7" xr3:uid="{00000000-0010-0000-0900-000007000000}" name="retrieved_date"/>
    <tableColumn id="8" xr3:uid="{00000000-0010-0000-0900-000008000000}" name="effective_date"/>
    <tableColumn id="9" xr3:uid="{00000000-0010-0000-0900-000009000000}" name="source_url"/>
    <tableColumn id="10" xr3:uid="{00000000-0010-0000-0900-00000A000000}" name="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ssumptions" displayName="TAssumptions" ref="A5:D82">
  <autoFilter ref="A5:D82" xr:uid="{00000000-0009-0000-0100-00000B000000}"/>
  <tableColumns count="4">
    <tableColumn id="1" xr3:uid="{00000000-0010-0000-0A00-000001000000}" name="parameter"/>
    <tableColumn id="2" xr3:uid="{00000000-0010-0000-0A00-000002000000}" name="value"/>
    <tableColumn id="3" xr3:uid="{00000000-0010-0000-0A00-000003000000}" name="source"/>
    <tableColumn id="4" xr3:uid="{00000000-0010-0000-0A00-000004000000}" name="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reakEven" displayName="TBreakEven" ref="A5:G8">
  <autoFilter ref="A5:G8" xr:uid="{00000000-0009-0000-0100-00000C000000}"/>
  <tableColumns count="7">
    <tableColumn id="1" xr3:uid="{00000000-0010-0000-0B00-000001000000}" name="left"/>
    <tableColumn id="2" xr3:uid="{00000000-0010-0000-0B00-000002000000}" name="right"/>
    <tableColumn id="3" xr3:uid="{00000000-0010-0000-0B00-000003000000}" name="status"/>
    <tableColumn id="4" xr3:uid="{00000000-0010-0000-0B00-000004000000}" name="roots_requests"/>
    <tableColumn id="5" xr3:uid="{00000000-0010-0000-0B00-000005000000}" name="coincident_intervals"/>
    <tableColumn id="6" xr3:uid="{00000000-0010-0000-0B00-000006000000}" name="discontinuities"/>
    <tableColumn id="7" xr3:uid="{00000000-0010-0000-0B00-000007000000}" name="limitation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MethodandProvenance" displayName="TMethodandProvenance" ref="A5:B18">
  <autoFilter ref="A5:B18" xr:uid="{00000000-0009-0000-0100-00000D000000}"/>
  <tableColumns count="2">
    <tableColumn id="1" xr3:uid="{00000000-0010-0000-0C00-000001000000}" name="item"/>
    <tableColumn id="2" xr3:uid="{00000000-0010-0000-0C00-000002000000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_error" TargetMode="External"/><Relationship Id="rId13" Type="http://schemas.openxmlformats.org/officeDocument/2006/relationships/hyperlink" Target="http_error" TargetMode="External"/><Relationship Id="rId18" Type="http://schemas.openxmlformats.org/officeDocument/2006/relationships/hyperlink" Target="http_error" TargetMode="External"/><Relationship Id="rId3" Type="http://schemas.openxmlformats.org/officeDocument/2006/relationships/hyperlink" Target="http_error" TargetMode="External"/><Relationship Id="rId21" Type="http://schemas.openxmlformats.org/officeDocument/2006/relationships/hyperlink" Target="http_error" TargetMode="External"/><Relationship Id="rId7" Type="http://schemas.openxmlformats.org/officeDocument/2006/relationships/hyperlink" Target="http_error" TargetMode="External"/><Relationship Id="rId12" Type="http://schemas.openxmlformats.org/officeDocument/2006/relationships/hyperlink" Target="http_error" TargetMode="External"/><Relationship Id="rId17" Type="http://schemas.openxmlformats.org/officeDocument/2006/relationships/hyperlink" Target="http_error" TargetMode="External"/><Relationship Id="rId2" Type="http://schemas.openxmlformats.org/officeDocument/2006/relationships/hyperlink" Target="http_error" TargetMode="External"/><Relationship Id="rId16" Type="http://schemas.openxmlformats.org/officeDocument/2006/relationships/hyperlink" Target="http_error" TargetMode="External"/><Relationship Id="rId20" Type="http://schemas.openxmlformats.org/officeDocument/2006/relationships/hyperlink" Target="http_error" TargetMode="External"/><Relationship Id="rId1" Type="http://schemas.openxmlformats.org/officeDocument/2006/relationships/hyperlink" Target="http_error" TargetMode="External"/><Relationship Id="rId6" Type="http://schemas.openxmlformats.org/officeDocument/2006/relationships/hyperlink" Target="http_error" TargetMode="External"/><Relationship Id="rId11" Type="http://schemas.openxmlformats.org/officeDocument/2006/relationships/hyperlink" Target="http_error" TargetMode="External"/><Relationship Id="rId5" Type="http://schemas.openxmlformats.org/officeDocument/2006/relationships/hyperlink" Target="http_error" TargetMode="External"/><Relationship Id="rId15" Type="http://schemas.openxmlformats.org/officeDocument/2006/relationships/hyperlink" Target="http_error" TargetMode="External"/><Relationship Id="rId10" Type="http://schemas.openxmlformats.org/officeDocument/2006/relationships/hyperlink" Target="http_error" TargetMode="External"/><Relationship Id="rId19" Type="http://schemas.openxmlformats.org/officeDocument/2006/relationships/hyperlink" Target="http_error" TargetMode="External"/><Relationship Id="rId4" Type="http://schemas.openxmlformats.org/officeDocument/2006/relationships/hyperlink" Target="http_error" TargetMode="External"/><Relationship Id="rId9" Type="http://schemas.openxmlformats.org/officeDocument/2006/relationships/hyperlink" Target="http_error" TargetMode="External"/><Relationship Id="rId14" Type="http://schemas.openxmlformats.org/officeDocument/2006/relationships/hyperlink" Target="http_error" TargetMode="External"/><Relationship Id="rId22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cloud.google.com/run/pricing" TargetMode="External"/><Relationship Id="rId13" Type="http://schemas.openxmlformats.org/officeDocument/2006/relationships/hyperlink" Target="https://cloud.google.com/compute/disks-image-pricing" TargetMode="External"/><Relationship Id="rId18" Type="http://schemas.openxmlformats.org/officeDocument/2006/relationships/hyperlink" Target="https://cloud.google.com/build/pricing" TargetMode="External"/><Relationship Id="rId3" Type="http://schemas.openxmlformats.org/officeDocument/2006/relationships/hyperlink" Target="https://cloud.google.com/run/pricing" TargetMode="External"/><Relationship Id="rId21" Type="http://schemas.openxmlformats.org/officeDocument/2006/relationships/table" Target="../tables/table10.xml"/><Relationship Id="rId7" Type="http://schemas.openxmlformats.org/officeDocument/2006/relationships/hyperlink" Target="https://cloud.google.com/run/pricing" TargetMode="External"/><Relationship Id="rId12" Type="http://schemas.openxmlformats.org/officeDocument/2006/relationships/hyperlink" Target="https://cloud.google.com/firestore/pricing" TargetMode="External"/><Relationship Id="rId17" Type="http://schemas.openxmlformats.org/officeDocument/2006/relationships/hyperlink" Target="https://cloud.google.com/stackdriver/pricing" TargetMode="External"/><Relationship Id="rId2" Type="http://schemas.openxmlformats.org/officeDocument/2006/relationships/hyperlink" Target="https://cloud.google.com/run/pricing" TargetMode="External"/><Relationship Id="rId16" Type="http://schemas.openxmlformats.org/officeDocument/2006/relationships/hyperlink" Target="https://cloud.google.com/stackdriver/pricing" TargetMode="External"/><Relationship Id="rId20" Type="http://schemas.openxmlformats.org/officeDocument/2006/relationships/vmlDrawing" Target="../drawings/vmlDrawing1.vml"/><Relationship Id="rId1" Type="http://schemas.openxmlformats.org/officeDocument/2006/relationships/hyperlink" Target="https://cloud.google.com/products/compute/pricing/general-purpose" TargetMode="External"/><Relationship Id="rId6" Type="http://schemas.openxmlformats.org/officeDocument/2006/relationships/hyperlink" Target="https://cloud.google.com/run/pricing" TargetMode="External"/><Relationship Id="rId11" Type="http://schemas.openxmlformats.org/officeDocument/2006/relationships/hyperlink" Target="https://cloud.google.com/firestore/pricing" TargetMode="External"/><Relationship Id="rId5" Type="http://schemas.openxmlformats.org/officeDocument/2006/relationships/hyperlink" Target="https://cloud.google.com/run/pricing" TargetMode="External"/><Relationship Id="rId15" Type="http://schemas.openxmlformats.org/officeDocument/2006/relationships/hyperlink" Target="https://cloud.google.com/vpc/network-pricing" TargetMode="External"/><Relationship Id="rId10" Type="http://schemas.openxmlformats.org/officeDocument/2006/relationships/hyperlink" Target="https://cloud.google.com/firestore/pricing" TargetMode="External"/><Relationship Id="rId19" Type="http://schemas.openxmlformats.org/officeDocument/2006/relationships/hyperlink" Target="https://cloud.google.com/artifact-registry/pricing" TargetMode="External"/><Relationship Id="rId4" Type="http://schemas.openxmlformats.org/officeDocument/2006/relationships/hyperlink" Target="https://cloud.google.com/run/pricing" TargetMode="External"/><Relationship Id="rId9" Type="http://schemas.openxmlformats.org/officeDocument/2006/relationships/hyperlink" Target="https://cloud.google.com/firestore/pricing" TargetMode="External"/><Relationship Id="rId14" Type="http://schemas.openxmlformats.org/officeDocument/2006/relationships/hyperlink" Target="https://cloud.google.com/vpc/network-pricing" TargetMode="External"/><Relationship Id="rId22" Type="http://schemas.openxmlformats.org/officeDocument/2006/relationships/comments" Target="../comments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7"/>
  <sheetViews>
    <sheetView showGridLines="0" tabSelected="1" workbookViewId="0">
      <pane xSplit="2" ySplit="5" topLeftCell="C6" activePane="bottomRight" state="frozen"/>
      <selection pane="topRight"/>
      <selection pane="bottomLeft"/>
      <selection pane="bottomRight" sqref="A1:I1"/>
    </sheetView>
  </sheetViews>
  <sheetFormatPr defaultRowHeight="15" x14ac:dyDescent="0.25"/>
  <cols>
    <col min="1" max="8" width="21" customWidth="1"/>
    <col min="9" max="9" width="34" customWidth="1"/>
  </cols>
  <sheetData>
    <row r="1" spans="1:9" ht="33.950000000000003" customHeight="1" x14ac:dyDescent="0.25">
      <c r="A1" s="25" t="s">
        <v>0</v>
      </c>
      <c r="B1" s="22"/>
      <c r="C1" s="22"/>
      <c r="D1" s="22"/>
      <c r="E1" s="22"/>
      <c r="F1" s="22"/>
      <c r="G1" s="22"/>
      <c r="H1" s="22"/>
      <c r="I1" s="22"/>
    </row>
    <row r="2" spans="1:9" ht="30" customHeight="1" x14ac:dyDescent="0.25">
      <c r="A2" s="21" t="s">
        <v>1</v>
      </c>
      <c r="B2" s="22"/>
      <c r="C2" s="22"/>
      <c r="D2" s="22"/>
      <c r="E2" s="22"/>
      <c r="F2" s="22"/>
      <c r="G2" s="22"/>
      <c r="H2" s="22"/>
      <c r="I2" s="22"/>
    </row>
    <row r="3" spans="1:9" ht="30" customHeight="1" x14ac:dyDescent="0.25">
      <c r="A3" s="26" t="s">
        <v>2</v>
      </c>
      <c r="B3" s="22"/>
      <c r="C3" s="22"/>
      <c r="D3" s="22"/>
      <c r="E3" s="22"/>
      <c r="F3" s="22"/>
      <c r="G3" s="22"/>
      <c r="H3" s="22"/>
      <c r="I3" s="22"/>
    </row>
    <row r="4" spans="1:9" x14ac:dyDescent="0.25">
      <c r="A4" s="1" t="s">
        <v>3</v>
      </c>
      <c r="B4" s="1" t="s">
        <v>4</v>
      </c>
      <c r="C4" s="1" t="s">
        <v>5</v>
      </c>
      <c r="H4" s="1" t="s">
        <v>4</v>
      </c>
    </row>
    <row r="5" spans="1:9" ht="39.950000000000003" customHeight="1" x14ac:dyDescent="0.2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</row>
    <row r="6" spans="1:9" ht="39.950000000000003" customHeight="1" x14ac:dyDescent="0.25">
      <c r="A6" s="3" t="s">
        <v>15</v>
      </c>
      <c r="B6" s="4">
        <f>COUNTIFS('Per Run'!$C$6:$C$304,LOWER(A6),'Per Run'!$D$6:$D$304,$A$4,'Per Run'!$E$6:$E$304,$B$4,'Per Run'!$F$6:$F$304,$C$4,'Per Run'!$AE$6:$AE$304,TRUE)</f>
        <v>5</v>
      </c>
      <c r="C6" s="4">
        <f>IFERROR(AVERAGEIFS('Per Run'!$M$6:$M$304,'Per Run'!$C$6:$C$304,LOWER(A6),'Per Run'!$D$6:$D$304,$A$4,'Per Run'!$E$6:$E$304,$B$4,'Per Run'!$F$6:$F$304,$C$4,'Per Run'!$AE$6:$AE$304,TRUE),"N/A")</f>
        <v>36.996007667689504</v>
      </c>
      <c r="D6" s="4">
        <f>IFERROR(AVERAGEIFS('Per Run'!$N$6:$N$304,'Per Run'!$C$6:$C$304,LOWER(A6),'Per Run'!$D$6:$D$304,$A$4,'Per Run'!$E$6:$E$304,$B$4,'Per Run'!$F$6:$F$304,$C$4,'Per Run'!$AE$6:$AE$304,TRUE),"N/A")</f>
        <v>104.96013043639998</v>
      </c>
      <c r="E6" s="4">
        <f>IFERROR(AVERAGEIFS('Per Run'!$O$6:$O$304,'Per Run'!$C$6:$C$304,LOWER(A6),'Per Run'!$D$6:$D$304,$A$4,'Per Run'!$E$6:$E$304,$B$4,'Per Run'!$F$6:$F$304,$C$4,'Per Run'!$AE$6:$AE$304,TRUE),"N/A")</f>
        <v>173.32995156800291</v>
      </c>
      <c r="F6" s="4">
        <f>IFERROR(AVERAGEIFS('Per Run'!$V$6:$V$304,'Per Run'!$C$6:$C$304,LOWER(A6),'Per Run'!$D$6:$D$304,$A$4,'Per Run'!$E$6:$E$304,$B$4,'Per Run'!$F$6:$F$304,$C$4,'Per Run'!$AE$6:$AE$304,TRUE),"N/A")</f>
        <v>19.966666666666661</v>
      </c>
      <c r="G6" s="4">
        <f>IFERROR(AVERAGEIFS('Per Run'!$Y$6:$Y$304,'Per Run'!$C$6:$C$304,LOWER(A6),'Per Run'!$D$6:$D$304,$A$4,'Per Run'!$E$6:$E$304,$B$4,'Per Run'!$F$6:$F$304,$C$4,'Per Run'!$AE$6:$AE$304,TRUE),"N/A")</f>
        <v>1.3888888888888888</v>
      </c>
      <c r="H6" s="5">
        <f>SUMIFS('Cost Summary'!$J$6:$J$14,'Cost Summary'!$A$6:$A$14,$H$4,'Cost Summary'!$B$6:$B$14,LOWER(A6))</f>
        <v>61.930282199999994</v>
      </c>
      <c r="I6" s="4" t="str">
        <f>IFERROR(INDEX('Cost Summary'!$I$6:$I$14,MATCH($H$4&amp;"|"&amp;LOWER(A6),'Cost Summary'!$M$6:$M$14,0)),"N/A")</f>
        <v>UNVERIFIED</v>
      </c>
    </row>
    <row r="7" spans="1:9" ht="39.950000000000003" customHeight="1" x14ac:dyDescent="0.25">
      <c r="A7" s="6" t="s">
        <v>16</v>
      </c>
      <c r="B7" s="7">
        <f>COUNTIFS('Per Run'!$C$6:$C$304,LOWER(A7),'Per Run'!$D$6:$D$304,$A$4,'Per Run'!$E$6:$E$304,$B$4,'Per Run'!$F$6:$F$304,$C$4,'Per Run'!$AE$6:$AE$304,TRUE)</f>
        <v>5</v>
      </c>
      <c r="C7" s="7">
        <f>IFERROR(AVERAGEIFS('Per Run'!$M$6:$M$304,'Per Run'!$C$6:$C$304,LOWER(A7),'Per Run'!$D$6:$D$304,$A$4,'Per Run'!$E$6:$E$304,$B$4,'Per Run'!$F$6:$F$304,$C$4,'Per Run'!$AE$6:$AE$304,TRUE),"N/A")</f>
        <v>39.380918481826164</v>
      </c>
      <c r="D7" s="7">
        <f>IFERROR(AVERAGEIFS('Per Run'!$N$6:$N$304,'Per Run'!$C$6:$C$304,LOWER(A7),'Per Run'!$D$6:$D$304,$A$4,'Per Run'!$E$6:$E$304,$B$4,'Per Run'!$F$6:$F$304,$C$4,'Per Run'!$AE$6:$AE$304,TRUE),"N/A")</f>
        <v>112.6246764494382</v>
      </c>
      <c r="E7" s="7">
        <f>IFERROR(AVERAGEIFS('Per Run'!$O$6:$O$304,'Per Run'!$C$6:$C$304,LOWER(A7),'Per Run'!$D$6:$D$304,$A$4,'Per Run'!$E$6:$E$304,$B$4,'Per Run'!$F$6:$F$304,$C$4,'Per Run'!$AE$6:$AE$304,TRUE),"N/A")</f>
        <v>223.80002836744976</v>
      </c>
      <c r="F7" s="7">
        <f>IFERROR(AVERAGEIFS('Per Run'!$V$6:$V$304,'Per Run'!$C$6:$C$304,LOWER(A7),'Per Run'!$D$6:$D$304,$A$4,'Per Run'!$E$6:$E$304,$B$4,'Per Run'!$F$6:$F$304,$C$4,'Per Run'!$AE$6:$AE$304,TRUE),"N/A")</f>
        <v>19.988888888888887</v>
      </c>
      <c r="G7" s="7">
        <f>IFERROR(AVERAGEIFS('Per Run'!$Y$6:$Y$304,'Per Run'!$C$6:$C$304,LOWER(A7),'Per Run'!$D$6:$D$304,$A$4,'Per Run'!$E$6:$E$304,$B$4,'Per Run'!$F$6:$F$304,$C$4,'Per Run'!$AE$6:$AE$304,TRUE),"N/A")</f>
        <v>1.4444444444444446</v>
      </c>
      <c r="H7" s="8">
        <f>SUMIFS('Cost Summary'!$J$6:$J$14,'Cost Summary'!$A$6:$A$14,$H$4,'Cost Summary'!$B$6:$B$14,LOWER(A7))</f>
        <v>8.9718687518012672</v>
      </c>
      <c r="I7" s="7" t="str">
        <f>IFERROR(INDEX('Cost Summary'!$I$6:$I$14,MATCH($H$4&amp;"|"&amp;LOWER(A7),'Cost Summary'!$M$6:$M$14,0)),"N/A")</f>
        <v>ESTIMATED_SUPPORTED</v>
      </c>
    </row>
    <row r="8" spans="1:9" ht="39.950000000000003" customHeight="1" x14ac:dyDescent="0.25">
      <c r="A8" s="9" t="s">
        <v>17</v>
      </c>
      <c r="B8" s="4">
        <f>COUNTIFS('Per Run'!$C$6:$C$304,LOWER(A8),'Per Run'!$D$6:$D$304,$A$4,'Per Run'!$E$6:$E$304,$B$4,'Per Run'!$F$6:$F$304,$C$4,'Per Run'!$AE$6:$AE$304,TRUE)</f>
        <v>5</v>
      </c>
      <c r="C8" s="4">
        <f>IFERROR(AVERAGEIFS('Per Run'!$M$6:$M$304,'Per Run'!$C$6:$C$304,LOWER(A8),'Per Run'!$D$6:$D$304,$A$4,'Per Run'!$E$6:$E$304,$B$4,'Per Run'!$F$6:$F$304,$C$4,'Per Run'!$AE$6:$AE$304,TRUE),"N/A")</f>
        <v>37.73571496279186</v>
      </c>
      <c r="D8" s="4">
        <f>IFERROR(AVERAGEIFS('Per Run'!$N$6:$N$304,'Per Run'!$C$6:$C$304,LOWER(A8),'Per Run'!$D$6:$D$304,$A$4,'Per Run'!$E$6:$E$304,$B$4,'Per Run'!$F$6:$F$304,$C$4,'Per Run'!$AE$6:$AE$304,TRUE),"N/A")</f>
        <v>105.32928736626766</v>
      </c>
      <c r="E8" s="4">
        <f>IFERROR(AVERAGEIFS('Per Run'!$O$6:$O$304,'Per Run'!$C$6:$C$304,LOWER(A8),'Per Run'!$D$6:$D$304,$A$4,'Per Run'!$E$6:$E$304,$B$4,'Per Run'!$F$6:$F$304,$C$4,'Per Run'!$AE$6:$AE$304,TRUE),"N/A")</f>
        <v>165.78197321228964</v>
      </c>
      <c r="F8" s="4">
        <f>IFERROR(AVERAGEIFS('Per Run'!$V$6:$V$304,'Per Run'!$C$6:$C$304,LOWER(A8),'Per Run'!$D$6:$D$304,$A$4,'Per Run'!$E$6:$E$304,$B$4,'Per Run'!$F$6:$F$304,$C$4,'Per Run'!$AE$6:$AE$304,TRUE),"N/A")</f>
        <v>20</v>
      </c>
      <c r="G8" s="4">
        <f>IFERROR(AVERAGEIFS('Per Run'!$Y$6:$Y$304,'Per Run'!$C$6:$C$304,LOWER(A8),'Per Run'!$D$6:$D$304,$A$4,'Per Run'!$E$6:$E$304,$B$4,'Per Run'!$F$6:$F$304,$C$4,'Per Run'!$AE$6:$AE$304,TRUE),"N/A")</f>
        <v>1.7777777777777775</v>
      </c>
      <c r="H8" s="5">
        <f>SUMIFS('Cost Summary'!$J$6:$J$14,'Cost Summary'!$A$6:$A$14,$H$4,'Cost Summary'!$B$6:$B$14,LOWER(A8))</f>
        <v>8.9718687518012672</v>
      </c>
      <c r="I8" s="4" t="str">
        <f>IFERROR(INDEX('Cost Summary'!$I$6:$I$14,MATCH($H$4&amp;"|"&amp;LOWER(A8),'Cost Summary'!$M$6:$M$14,0)),"N/A")</f>
        <v>ESTIMATED_SUPPORTED</v>
      </c>
    </row>
    <row r="10" spans="1:9" ht="33.950000000000003" customHeight="1" x14ac:dyDescent="0.25">
      <c r="A10" s="23" t="s">
        <v>18</v>
      </c>
      <c r="B10" s="22"/>
      <c r="C10" s="22"/>
      <c r="D10" s="22"/>
      <c r="E10" s="22"/>
      <c r="F10" s="22"/>
      <c r="G10" s="22"/>
      <c r="H10" s="22"/>
      <c r="I10" s="22"/>
    </row>
    <row r="37" spans="1:9" x14ac:dyDescent="0.25">
      <c r="A37" s="24" t="s">
        <v>19</v>
      </c>
      <c r="B37" s="22"/>
      <c r="C37" s="22"/>
      <c r="D37" s="22"/>
      <c r="E37" s="22"/>
      <c r="F37" s="22"/>
      <c r="G37" s="22"/>
      <c r="H37" s="22"/>
      <c r="I37" s="22"/>
    </row>
  </sheetData>
  <mergeCells count="5">
    <mergeCell ref="A2:I2"/>
    <mergeCell ref="A10:I10"/>
    <mergeCell ref="A37:I37"/>
    <mergeCell ref="A1:I1"/>
    <mergeCell ref="A3:I3"/>
  </mergeCells>
  <dataValidations count="4">
    <dataValidation type="list" sqref="A4" xr:uid="{00000000-0002-0000-0000-000000000000}">
      <formula1>"steady,burst,idle"</formula1>
    </dataValidation>
    <dataValidation type="list" sqref="B4" xr:uid="{00000000-0002-0000-0000-000001000000}">
      <formula1>"low,medium,high,burst,idle"</formula1>
    </dataValidation>
    <dataValidation type="list" sqref="C4" xr:uid="{00000000-0002-0000-0000-000002000000}">
      <formula1>"all,read,write,cpu"</formula1>
    </dataValidation>
    <dataValidation type="list" sqref="H4" xr:uid="{00000000-0002-0000-0000-000003000000}">
      <formula1>"low,medium,high"</formula1>
    </dataValidation>
  </dataValidations>
  <pageMargins left="0.75" right="0.75" top="1" bottom="1" header="0.5" footer="0.5"/>
  <pageSetup paperSize="8" fitToHeight="0" orientation="landscape"/>
  <headerFooter>
    <oddFooter>&amp;CDEMO | &amp;A | &amp;P /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H304"/>
  <sheetViews>
    <sheetView showGridLines="0"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6" customWidth="1"/>
    <col min="2" max="2" width="42" customWidth="1"/>
    <col min="3" max="7" width="26" customWidth="1"/>
    <col min="8" max="18" width="21" customWidth="1"/>
    <col min="19" max="19" width="26" customWidth="1"/>
    <col min="20" max="24" width="21" customWidth="1"/>
    <col min="25" max="25" width="26" customWidth="1"/>
    <col min="26" max="26" width="21" customWidth="1"/>
    <col min="27" max="27" width="26" customWidth="1"/>
    <col min="28" max="30" width="21" customWidth="1"/>
    <col min="31" max="32" width="26" customWidth="1"/>
    <col min="33" max="34" width="42" customWidth="1"/>
  </cols>
  <sheetData>
    <row r="1" spans="1:34" ht="33.950000000000003" customHeight="1" x14ac:dyDescent="0.25">
      <c r="A1" s="25" t="s">
        <v>20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</row>
    <row r="2" spans="1:34" ht="30" customHeight="1" x14ac:dyDescent="0.25">
      <c r="A2" s="21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</row>
    <row r="3" spans="1:34" ht="30" customHeight="1" x14ac:dyDescent="0.25">
      <c r="A3" s="26" t="s">
        <v>21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</row>
    <row r="5" spans="1:34" ht="36" customHeight="1" x14ac:dyDescent="0.2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  <c r="H5" s="2" t="s">
        <v>29</v>
      </c>
      <c r="I5" s="2" t="s">
        <v>30</v>
      </c>
      <c r="J5" s="2" t="s">
        <v>31</v>
      </c>
      <c r="K5" s="2" t="s">
        <v>32</v>
      </c>
      <c r="L5" s="2" t="s">
        <v>33</v>
      </c>
      <c r="M5" s="2" t="s">
        <v>34</v>
      </c>
      <c r="N5" s="2" t="s">
        <v>35</v>
      </c>
      <c r="O5" s="2" t="s">
        <v>36</v>
      </c>
      <c r="P5" s="2" t="s">
        <v>37</v>
      </c>
      <c r="Q5" s="2" t="s">
        <v>38</v>
      </c>
      <c r="R5" s="2" t="s">
        <v>39</v>
      </c>
      <c r="S5" s="2" t="s">
        <v>40</v>
      </c>
      <c r="T5" s="2" t="s">
        <v>41</v>
      </c>
      <c r="U5" s="2" t="s">
        <v>42</v>
      </c>
      <c r="V5" s="2" t="s">
        <v>43</v>
      </c>
      <c r="W5" s="2" t="s">
        <v>44</v>
      </c>
      <c r="X5" s="2" t="s">
        <v>45</v>
      </c>
      <c r="Y5" s="2" t="s">
        <v>46</v>
      </c>
      <c r="Z5" s="2" t="s">
        <v>47</v>
      </c>
      <c r="AA5" s="2" t="s">
        <v>48</v>
      </c>
      <c r="AB5" s="2" t="s">
        <v>49</v>
      </c>
      <c r="AC5" s="2" t="s">
        <v>50</v>
      </c>
      <c r="AD5" s="2" t="s">
        <v>51</v>
      </c>
      <c r="AE5" s="2" t="s">
        <v>52</v>
      </c>
      <c r="AF5" s="2" t="s">
        <v>53</v>
      </c>
      <c r="AG5" s="2" t="s">
        <v>54</v>
      </c>
      <c r="AH5" s="2" t="s">
        <v>55</v>
      </c>
    </row>
    <row r="6" spans="1:34" ht="32.1" customHeight="1" x14ac:dyDescent="0.25">
      <c r="A6" s="10" t="s">
        <v>56</v>
      </c>
      <c r="B6" s="10" t="s">
        <v>57</v>
      </c>
      <c r="C6" s="10" t="s">
        <v>58</v>
      </c>
      <c r="D6" s="10" t="s">
        <v>59</v>
      </c>
      <c r="E6" s="10" t="s">
        <v>59</v>
      </c>
      <c r="F6" s="10" t="s">
        <v>5</v>
      </c>
      <c r="G6" s="11">
        <v>1</v>
      </c>
      <c r="H6" s="11">
        <v>830</v>
      </c>
      <c r="I6" s="11">
        <v>817</v>
      </c>
      <c r="J6" s="11">
        <v>13</v>
      </c>
      <c r="K6" s="11">
        <v>0</v>
      </c>
      <c r="L6" s="12">
        <v>75.594244666412678</v>
      </c>
      <c r="M6" s="12">
        <v>60.300289959212677</v>
      </c>
      <c r="N6" s="12">
        <v>172.47119172339919</v>
      </c>
      <c r="O6" s="12">
        <v>252.82460421639661</v>
      </c>
      <c r="P6" s="12">
        <v>15.69655336496384</v>
      </c>
      <c r="Q6" s="12">
        <v>1488.7454118976129</v>
      </c>
      <c r="R6" s="12">
        <v>68.439907856169498</v>
      </c>
      <c r="S6" s="12">
        <v>0.90535871028522996</v>
      </c>
      <c r="T6" s="12">
        <v>20</v>
      </c>
      <c r="U6" s="12">
        <v>41.5</v>
      </c>
      <c r="V6" s="12">
        <v>41.5</v>
      </c>
      <c r="W6" s="12">
        <v>41.5</v>
      </c>
      <c r="X6" s="12">
        <v>40.85</v>
      </c>
      <c r="Y6" s="12">
        <v>1.566265060240964</v>
      </c>
      <c r="Z6" s="12">
        <v>0</v>
      </c>
      <c r="AA6" s="12">
        <v>0</v>
      </c>
      <c r="AB6" s="11">
        <v>0</v>
      </c>
      <c r="AC6" s="12">
        <v>0</v>
      </c>
      <c r="AD6" s="11">
        <v>43</v>
      </c>
      <c r="AE6" s="13" t="b">
        <v>1</v>
      </c>
      <c r="AF6" s="10" t="s">
        <v>60</v>
      </c>
      <c r="AG6" s="10" t="s">
        <v>61</v>
      </c>
      <c r="AH6" s="12"/>
    </row>
    <row r="7" spans="1:34" ht="32.1" customHeight="1" x14ac:dyDescent="0.25">
      <c r="A7" s="10" t="s">
        <v>56</v>
      </c>
      <c r="B7" s="10" t="s">
        <v>57</v>
      </c>
      <c r="C7" s="10" t="s">
        <v>58</v>
      </c>
      <c r="D7" s="10" t="s">
        <v>59</v>
      </c>
      <c r="E7" s="10" t="s">
        <v>59</v>
      </c>
      <c r="F7" s="10" t="s">
        <v>62</v>
      </c>
      <c r="G7" s="11">
        <v>1</v>
      </c>
      <c r="H7" s="11">
        <v>83</v>
      </c>
      <c r="I7" s="11">
        <v>82</v>
      </c>
      <c r="J7" s="11">
        <v>1</v>
      </c>
      <c r="K7" s="11">
        <v>0</v>
      </c>
      <c r="L7" s="12">
        <v>180.45590693996189</v>
      </c>
      <c r="M7" s="12">
        <v>158.45627430382439</v>
      </c>
      <c r="N7" s="12">
        <v>262.30618049211239</v>
      </c>
      <c r="O7" s="12">
        <v>581.25835210109278</v>
      </c>
      <c r="P7" s="12">
        <v>51.196235961515811</v>
      </c>
      <c r="Q7" s="12">
        <v>1488.7454118976129</v>
      </c>
      <c r="R7" s="12">
        <v>157.91809814045331</v>
      </c>
      <c r="S7" s="12">
        <v>0.87510628395773682</v>
      </c>
      <c r="T7" s="12">
        <v>20</v>
      </c>
      <c r="U7" s="12">
        <v>4.1500000000000004</v>
      </c>
      <c r="V7" s="12">
        <v>4.1500000000000004</v>
      </c>
      <c r="W7" s="12">
        <v>4.1500000000000004</v>
      </c>
      <c r="X7" s="12">
        <v>4.0999999999999996</v>
      </c>
      <c r="Y7" s="12">
        <v>1.2048192771084341</v>
      </c>
      <c r="Z7" s="12"/>
      <c r="AA7" s="12"/>
      <c r="AB7" s="11">
        <v>0</v>
      </c>
      <c r="AC7" s="12">
        <v>0</v>
      </c>
      <c r="AD7" s="11">
        <v>3</v>
      </c>
      <c r="AE7" s="13" t="b">
        <v>1</v>
      </c>
      <c r="AF7" s="10" t="s">
        <v>60</v>
      </c>
      <c r="AG7" s="10" t="s">
        <v>61</v>
      </c>
      <c r="AH7" s="12"/>
    </row>
    <row r="8" spans="1:34" ht="32.1" customHeight="1" x14ac:dyDescent="0.25">
      <c r="A8" s="10" t="s">
        <v>56</v>
      </c>
      <c r="B8" s="10" t="s">
        <v>57</v>
      </c>
      <c r="C8" s="10" t="s">
        <v>58</v>
      </c>
      <c r="D8" s="10" t="s">
        <v>59</v>
      </c>
      <c r="E8" s="10" t="s">
        <v>59</v>
      </c>
      <c r="F8" s="10" t="s">
        <v>63</v>
      </c>
      <c r="G8" s="11">
        <v>1</v>
      </c>
      <c r="H8" s="11">
        <v>586</v>
      </c>
      <c r="I8" s="11">
        <v>577</v>
      </c>
      <c r="J8" s="11">
        <v>9</v>
      </c>
      <c r="K8" s="11">
        <v>0</v>
      </c>
      <c r="L8" s="12">
        <v>58.008621152105299</v>
      </c>
      <c r="M8" s="12">
        <v>53.407455450063381</v>
      </c>
      <c r="N8" s="12">
        <v>102.7780970343035</v>
      </c>
      <c r="O8" s="12">
        <v>121.3671918632447</v>
      </c>
      <c r="P8" s="12">
        <v>15.69655336496384</v>
      </c>
      <c r="Q8" s="12">
        <v>498.52722674985182</v>
      </c>
      <c r="R8" s="12">
        <v>29.058781875905439</v>
      </c>
      <c r="S8" s="12">
        <v>0.50093902076572316</v>
      </c>
      <c r="T8" s="12">
        <v>20</v>
      </c>
      <c r="U8" s="12">
        <v>29.05</v>
      </c>
      <c r="V8" s="12">
        <v>29.3</v>
      </c>
      <c r="W8" s="12">
        <v>29.3</v>
      </c>
      <c r="X8" s="12">
        <v>28.85</v>
      </c>
      <c r="Y8" s="12">
        <v>1.5358361774744029</v>
      </c>
      <c r="Z8" s="12"/>
      <c r="AA8" s="12"/>
      <c r="AB8" s="11">
        <v>0</v>
      </c>
      <c r="AC8" s="12">
        <v>0</v>
      </c>
      <c r="AD8" s="11">
        <v>34</v>
      </c>
      <c r="AE8" s="13" t="b">
        <v>1</v>
      </c>
      <c r="AF8" s="10" t="s">
        <v>60</v>
      </c>
      <c r="AG8" s="10" t="s">
        <v>61</v>
      </c>
      <c r="AH8" s="12"/>
    </row>
    <row r="9" spans="1:34" ht="32.1" customHeight="1" x14ac:dyDescent="0.25">
      <c r="A9" s="10" t="s">
        <v>56</v>
      </c>
      <c r="B9" s="10" t="s">
        <v>57</v>
      </c>
      <c r="C9" s="10" t="s">
        <v>58</v>
      </c>
      <c r="D9" s="10" t="s">
        <v>59</v>
      </c>
      <c r="E9" s="10" t="s">
        <v>59</v>
      </c>
      <c r="F9" s="10" t="s">
        <v>64</v>
      </c>
      <c r="G9" s="11">
        <v>1</v>
      </c>
      <c r="H9" s="11">
        <v>161</v>
      </c>
      <c r="I9" s="11">
        <v>158</v>
      </c>
      <c r="J9" s="11">
        <v>3</v>
      </c>
      <c r="K9" s="11">
        <v>0</v>
      </c>
      <c r="L9" s="12">
        <v>85.542427341440856</v>
      </c>
      <c r="M9" s="12">
        <v>78.590467721479826</v>
      </c>
      <c r="N9" s="12">
        <v>161.04107162737731</v>
      </c>
      <c r="O9" s="12">
        <v>199.7907431538988</v>
      </c>
      <c r="P9" s="12">
        <v>25.39275276477543</v>
      </c>
      <c r="Q9" s="12">
        <v>241.75394061441341</v>
      </c>
      <c r="R9" s="12">
        <v>38.269090191329973</v>
      </c>
      <c r="S9" s="12">
        <v>0.44736970157018902</v>
      </c>
      <c r="T9" s="12">
        <v>20</v>
      </c>
      <c r="U9" s="12">
        <v>8.3000000000000007</v>
      </c>
      <c r="V9" s="12">
        <v>8.0500000000000007</v>
      </c>
      <c r="W9" s="12">
        <v>8.0500000000000007</v>
      </c>
      <c r="X9" s="12">
        <v>7.9</v>
      </c>
      <c r="Y9" s="12">
        <v>1.8633540372670809</v>
      </c>
      <c r="Z9" s="12"/>
      <c r="AA9" s="12"/>
      <c r="AB9" s="11">
        <v>0</v>
      </c>
      <c r="AC9" s="12">
        <v>0</v>
      </c>
      <c r="AD9" s="11">
        <v>6</v>
      </c>
      <c r="AE9" s="13" t="b">
        <v>1</v>
      </c>
      <c r="AF9" s="10" t="s">
        <v>60</v>
      </c>
      <c r="AG9" s="10" t="s">
        <v>61</v>
      </c>
      <c r="AH9" s="12"/>
    </row>
    <row r="10" spans="1:34" ht="32.1" customHeight="1" x14ac:dyDescent="0.25">
      <c r="A10" s="10" t="s">
        <v>56</v>
      </c>
      <c r="B10" s="10" t="s">
        <v>65</v>
      </c>
      <c r="C10" s="10" t="s">
        <v>58</v>
      </c>
      <c r="D10" s="10" t="s">
        <v>59</v>
      </c>
      <c r="E10" s="10" t="s">
        <v>59</v>
      </c>
      <c r="F10" s="10" t="s">
        <v>5</v>
      </c>
      <c r="G10" s="11">
        <v>2</v>
      </c>
      <c r="H10" s="11">
        <v>830</v>
      </c>
      <c r="I10" s="11">
        <v>819</v>
      </c>
      <c r="J10" s="11">
        <v>11</v>
      </c>
      <c r="K10" s="11">
        <v>0</v>
      </c>
      <c r="L10" s="12">
        <v>61.503221098580681</v>
      </c>
      <c r="M10" s="12">
        <v>48.221025656606457</v>
      </c>
      <c r="N10" s="12">
        <v>137.76544842258519</v>
      </c>
      <c r="O10" s="12">
        <v>252.33866473014879</v>
      </c>
      <c r="P10" s="12">
        <v>11.80627589007536</v>
      </c>
      <c r="Q10" s="12">
        <v>587.50152866826647</v>
      </c>
      <c r="R10" s="12">
        <v>49.986968355128639</v>
      </c>
      <c r="S10" s="12">
        <v>0.81275366496669876</v>
      </c>
      <c r="T10" s="12">
        <v>20</v>
      </c>
      <c r="U10" s="12">
        <v>41.5</v>
      </c>
      <c r="V10" s="12">
        <v>41.5</v>
      </c>
      <c r="W10" s="12">
        <v>41.5</v>
      </c>
      <c r="X10" s="12">
        <v>40.950000000000003</v>
      </c>
      <c r="Y10" s="12">
        <v>1.3253012048192769</v>
      </c>
      <c r="Z10" s="12">
        <v>0</v>
      </c>
      <c r="AA10" s="12">
        <v>0</v>
      </c>
      <c r="AB10" s="11">
        <v>0</v>
      </c>
      <c r="AC10" s="12">
        <v>0</v>
      </c>
      <c r="AD10" s="11">
        <v>41</v>
      </c>
      <c r="AE10" s="13" t="b">
        <v>1</v>
      </c>
      <c r="AF10" s="10" t="s">
        <v>60</v>
      </c>
      <c r="AG10" s="10" t="s">
        <v>61</v>
      </c>
      <c r="AH10" s="12"/>
    </row>
    <row r="11" spans="1:34" ht="32.1" customHeight="1" x14ac:dyDescent="0.25">
      <c r="A11" s="10" t="s">
        <v>56</v>
      </c>
      <c r="B11" s="10" t="s">
        <v>65</v>
      </c>
      <c r="C11" s="10" t="s">
        <v>58</v>
      </c>
      <c r="D11" s="10" t="s">
        <v>59</v>
      </c>
      <c r="E11" s="10" t="s">
        <v>59</v>
      </c>
      <c r="F11" s="10" t="s">
        <v>62</v>
      </c>
      <c r="G11" s="11">
        <v>2</v>
      </c>
      <c r="H11" s="11">
        <v>84</v>
      </c>
      <c r="I11" s="11">
        <v>83</v>
      </c>
      <c r="J11" s="11">
        <v>1</v>
      </c>
      <c r="K11" s="11">
        <v>0</v>
      </c>
      <c r="L11" s="12">
        <v>146.57060893354131</v>
      </c>
      <c r="M11" s="12">
        <v>127.01131482206191</v>
      </c>
      <c r="N11" s="12">
        <v>280.99287082364287</v>
      </c>
      <c r="O11" s="12">
        <v>376.00365943018448</v>
      </c>
      <c r="P11" s="12">
        <v>56.410147757085817</v>
      </c>
      <c r="Q11" s="12">
        <v>505.28224492152299</v>
      </c>
      <c r="R11" s="12">
        <v>74.546857742937917</v>
      </c>
      <c r="S11" s="12">
        <v>0.50860713676054436</v>
      </c>
      <c r="T11" s="12">
        <v>20</v>
      </c>
      <c r="U11" s="12">
        <v>4.1500000000000004</v>
      </c>
      <c r="V11" s="12">
        <v>4.2</v>
      </c>
      <c r="W11" s="12">
        <v>4.2</v>
      </c>
      <c r="X11" s="12">
        <v>4.1500000000000004</v>
      </c>
      <c r="Y11" s="12">
        <v>1.19047619047619</v>
      </c>
      <c r="Z11" s="12"/>
      <c r="AA11" s="12"/>
      <c r="AB11" s="11">
        <v>0</v>
      </c>
      <c r="AC11" s="12">
        <v>0</v>
      </c>
      <c r="AD11" s="11">
        <v>8</v>
      </c>
      <c r="AE11" s="13" t="b">
        <v>1</v>
      </c>
      <c r="AF11" s="10" t="s">
        <v>60</v>
      </c>
      <c r="AG11" s="10" t="s">
        <v>61</v>
      </c>
      <c r="AH11" s="12"/>
    </row>
    <row r="12" spans="1:34" ht="32.1" customHeight="1" x14ac:dyDescent="0.25">
      <c r="A12" s="10" t="s">
        <v>56</v>
      </c>
      <c r="B12" s="10" t="s">
        <v>65</v>
      </c>
      <c r="C12" s="10" t="s">
        <v>58</v>
      </c>
      <c r="D12" s="10" t="s">
        <v>59</v>
      </c>
      <c r="E12" s="10" t="s">
        <v>59</v>
      </c>
      <c r="F12" s="10" t="s">
        <v>63</v>
      </c>
      <c r="G12" s="11">
        <v>2</v>
      </c>
      <c r="H12" s="11">
        <v>575</v>
      </c>
      <c r="I12" s="11">
        <v>570</v>
      </c>
      <c r="J12" s="11">
        <v>5</v>
      </c>
      <c r="K12" s="11">
        <v>0</v>
      </c>
      <c r="L12" s="12">
        <v>47.260514398016738</v>
      </c>
      <c r="M12" s="12">
        <v>41.128759151213039</v>
      </c>
      <c r="N12" s="12">
        <v>79.749277699717723</v>
      </c>
      <c r="O12" s="12">
        <v>109.6789858820112</v>
      </c>
      <c r="P12" s="12">
        <v>11.80627589007536</v>
      </c>
      <c r="Q12" s="12">
        <v>587.50152866826647</v>
      </c>
      <c r="R12" s="12">
        <v>35.775337827754939</v>
      </c>
      <c r="S12" s="12">
        <v>0.75698155814521206</v>
      </c>
      <c r="T12" s="12">
        <v>20</v>
      </c>
      <c r="U12" s="12">
        <v>29.05</v>
      </c>
      <c r="V12" s="12">
        <v>28.75</v>
      </c>
      <c r="W12" s="12">
        <v>28.75</v>
      </c>
      <c r="X12" s="12">
        <v>28.5</v>
      </c>
      <c r="Y12" s="12">
        <v>0.86956521739130432</v>
      </c>
      <c r="Z12" s="12"/>
      <c r="AA12" s="12"/>
      <c r="AB12" s="11">
        <v>0</v>
      </c>
      <c r="AC12" s="12">
        <v>0</v>
      </c>
      <c r="AD12" s="11">
        <v>29</v>
      </c>
      <c r="AE12" s="13" t="b">
        <v>1</v>
      </c>
      <c r="AF12" s="10" t="s">
        <v>60</v>
      </c>
      <c r="AG12" s="10" t="s">
        <v>61</v>
      </c>
      <c r="AH12" s="12"/>
    </row>
    <row r="13" spans="1:34" ht="32.1" customHeight="1" x14ac:dyDescent="0.25">
      <c r="A13" s="10" t="s">
        <v>56</v>
      </c>
      <c r="B13" s="10" t="s">
        <v>65</v>
      </c>
      <c r="C13" s="10" t="s">
        <v>58</v>
      </c>
      <c r="D13" s="10" t="s">
        <v>59</v>
      </c>
      <c r="E13" s="10" t="s">
        <v>59</v>
      </c>
      <c r="F13" s="10" t="s">
        <v>64</v>
      </c>
      <c r="G13" s="11">
        <v>2</v>
      </c>
      <c r="H13" s="11">
        <v>171</v>
      </c>
      <c r="I13" s="11">
        <v>166</v>
      </c>
      <c r="J13" s="11">
        <v>5</v>
      </c>
      <c r="K13" s="11">
        <v>0</v>
      </c>
      <c r="L13" s="12">
        <v>67.60787475172441</v>
      </c>
      <c r="M13" s="12">
        <v>61.843339022056092</v>
      </c>
      <c r="N13" s="12">
        <v>125.51230652170329</v>
      </c>
      <c r="O13" s="12">
        <v>176.17126845396069</v>
      </c>
      <c r="P13" s="12">
        <v>21.749133614070921</v>
      </c>
      <c r="Q13" s="12">
        <v>182.91677592107541</v>
      </c>
      <c r="R13" s="12">
        <v>29.169334335253019</v>
      </c>
      <c r="S13" s="12">
        <v>0.43144876898395668</v>
      </c>
      <c r="T13" s="12">
        <v>20</v>
      </c>
      <c r="U13" s="12">
        <v>8.3000000000000007</v>
      </c>
      <c r="V13" s="12">
        <v>8.5500000000000007</v>
      </c>
      <c r="W13" s="12">
        <v>8.5500000000000007</v>
      </c>
      <c r="X13" s="12">
        <v>8.3000000000000007</v>
      </c>
      <c r="Y13" s="12">
        <v>2.923976608187135</v>
      </c>
      <c r="Z13" s="12"/>
      <c r="AA13" s="12"/>
      <c r="AB13" s="11">
        <v>0</v>
      </c>
      <c r="AC13" s="12">
        <v>0</v>
      </c>
      <c r="AD13" s="11">
        <v>4</v>
      </c>
      <c r="AE13" s="13" t="b">
        <v>1</v>
      </c>
      <c r="AF13" s="10" t="s">
        <v>60</v>
      </c>
      <c r="AG13" s="10" t="s">
        <v>61</v>
      </c>
      <c r="AH13" s="12"/>
    </row>
    <row r="14" spans="1:34" ht="32.1" customHeight="1" x14ac:dyDescent="0.25">
      <c r="A14" s="10" t="s">
        <v>56</v>
      </c>
      <c r="B14" s="10" t="s">
        <v>66</v>
      </c>
      <c r="C14" s="10" t="s">
        <v>58</v>
      </c>
      <c r="D14" s="10" t="s">
        <v>59</v>
      </c>
      <c r="E14" s="10" t="s">
        <v>59</v>
      </c>
      <c r="F14" s="10" t="s">
        <v>5</v>
      </c>
      <c r="G14" s="11">
        <v>3</v>
      </c>
      <c r="H14" s="11">
        <v>830</v>
      </c>
      <c r="I14" s="11">
        <v>815</v>
      </c>
      <c r="J14" s="11">
        <v>15</v>
      </c>
      <c r="K14" s="11">
        <v>0</v>
      </c>
      <c r="L14" s="12">
        <v>76.625613969951715</v>
      </c>
      <c r="M14" s="12">
        <v>59.562368535815921</v>
      </c>
      <c r="N14" s="12">
        <v>171.9293450332116</v>
      </c>
      <c r="O14" s="12">
        <v>308.78725839701201</v>
      </c>
      <c r="P14" s="12">
        <v>13.57409618407201</v>
      </c>
      <c r="Q14" s="12">
        <v>932.97067047469875</v>
      </c>
      <c r="R14" s="12">
        <v>72.149367254906053</v>
      </c>
      <c r="S14" s="12">
        <v>0.94158289267605744</v>
      </c>
      <c r="T14" s="12">
        <v>20</v>
      </c>
      <c r="U14" s="12">
        <v>41.5</v>
      </c>
      <c r="V14" s="12">
        <v>41.5</v>
      </c>
      <c r="W14" s="12">
        <v>41.5</v>
      </c>
      <c r="X14" s="12">
        <v>40.75</v>
      </c>
      <c r="Y14" s="12">
        <v>1.80722891566265</v>
      </c>
      <c r="Z14" s="12">
        <v>0</v>
      </c>
      <c r="AA14" s="12">
        <v>0</v>
      </c>
      <c r="AB14" s="11">
        <v>0</v>
      </c>
      <c r="AC14" s="12">
        <v>0</v>
      </c>
      <c r="AD14" s="11">
        <v>57</v>
      </c>
      <c r="AE14" s="13" t="b">
        <v>1</v>
      </c>
      <c r="AF14" s="10" t="s">
        <v>60</v>
      </c>
      <c r="AG14" s="10" t="s">
        <v>61</v>
      </c>
      <c r="AH14" s="12"/>
    </row>
    <row r="15" spans="1:34" ht="32.1" customHeight="1" x14ac:dyDescent="0.25">
      <c r="A15" s="10" t="s">
        <v>56</v>
      </c>
      <c r="B15" s="10" t="s">
        <v>66</v>
      </c>
      <c r="C15" s="10" t="s">
        <v>58</v>
      </c>
      <c r="D15" s="10" t="s">
        <v>59</v>
      </c>
      <c r="E15" s="10" t="s">
        <v>59</v>
      </c>
      <c r="F15" s="10" t="s">
        <v>62</v>
      </c>
      <c r="G15" s="11">
        <v>3</v>
      </c>
      <c r="H15" s="11">
        <v>90</v>
      </c>
      <c r="I15" s="11">
        <v>88</v>
      </c>
      <c r="J15" s="11">
        <v>2</v>
      </c>
      <c r="K15" s="11">
        <v>0</v>
      </c>
      <c r="L15" s="12">
        <v>157.34514017370489</v>
      </c>
      <c r="M15" s="12">
        <v>149.09363084831921</v>
      </c>
      <c r="N15" s="12">
        <v>280.74704875694391</v>
      </c>
      <c r="O15" s="12">
        <v>339.52250533373518</v>
      </c>
      <c r="P15" s="12">
        <v>61.672688676830148</v>
      </c>
      <c r="Q15" s="12">
        <v>356.13958406480998</v>
      </c>
      <c r="R15" s="12">
        <v>61.684466705202588</v>
      </c>
      <c r="S15" s="12">
        <v>0.392032868870971</v>
      </c>
      <c r="T15" s="12">
        <v>20</v>
      </c>
      <c r="U15" s="12">
        <v>4.1500000000000004</v>
      </c>
      <c r="V15" s="12">
        <v>4.5</v>
      </c>
      <c r="W15" s="12">
        <v>4.5</v>
      </c>
      <c r="X15" s="12">
        <v>4.4000000000000004</v>
      </c>
      <c r="Y15" s="12">
        <v>2.2222222222222219</v>
      </c>
      <c r="Z15" s="12"/>
      <c r="AA15" s="12"/>
      <c r="AB15" s="11">
        <v>0</v>
      </c>
      <c r="AC15" s="12">
        <v>0</v>
      </c>
      <c r="AD15" s="11">
        <v>6</v>
      </c>
      <c r="AE15" s="13" t="b">
        <v>1</v>
      </c>
      <c r="AF15" s="10" t="s">
        <v>60</v>
      </c>
      <c r="AG15" s="10" t="s">
        <v>61</v>
      </c>
      <c r="AH15" s="12"/>
    </row>
    <row r="16" spans="1:34" ht="32.1" customHeight="1" x14ac:dyDescent="0.25">
      <c r="A16" s="10" t="s">
        <v>56</v>
      </c>
      <c r="B16" s="10" t="s">
        <v>66</v>
      </c>
      <c r="C16" s="10" t="s">
        <v>58</v>
      </c>
      <c r="D16" s="10" t="s">
        <v>59</v>
      </c>
      <c r="E16" s="10" t="s">
        <v>59</v>
      </c>
      <c r="F16" s="10" t="s">
        <v>63</v>
      </c>
      <c r="G16" s="11">
        <v>3</v>
      </c>
      <c r="H16" s="11">
        <v>568</v>
      </c>
      <c r="I16" s="11">
        <v>558</v>
      </c>
      <c r="J16" s="11">
        <v>10</v>
      </c>
      <c r="K16" s="11">
        <v>0</v>
      </c>
      <c r="L16" s="12">
        <v>61.768471977972062</v>
      </c>
      <c r="M16" s="12">
        <v>49.747929946398251</v>
      </c>
      <c r="N16" s="12">
        <v>101.14199425354241</v>
      </c>
      <c r="O16" s="12">
        <v>249.6720498443654</v>
      </c>
      <c r="P16" s="12">
        <v>13.57409618407201</v>
      </c>
      <c r="Q16" s="12">
        <v>932.97067047469875</v>
      </c>
      <c r="R16" s="12">
        <v>73.48464501952563</v>
      </c>
      <c r="S16" s="12">
        <v>1.1896788550270729</v>
      </c>
      <c r="T16" s="12">
        <v>20</v>
      </c>
      <c r="U16" s="12">
        <v>29.05</v>
      </c>
      <c r="V16" s="12">
        <v>28.4</v>
      </c>
      <c r="W16" s="12">
        <v>28.4</v>
      </c>
      <c r="X16" s="12">
        <v>27.9</v>
      </c>
      <c r="Y16" s="12">
        <v>1.76056338028169</v>
      </c>
      <c r="Z16" s="12"/>
      <c r="AA16" s="12"/>
      <c r="AB16" s="11">
        <v>0</v>
      </c>
      <c r="AC16" s="12">
        <v>0</v>
      </c>
      <c r="AD16" s="11">
        <v>37</v>
      </c>
      <c r="AE16" s="13" t="b">
        <v>1</v>
      </c>
      <c r="AF16" s="10" t="s">
        <v>60</v>
      </c>
      <c r="AG16" s="10" t="s">
        <v>61</v>
      </c>
      <c r="AH16" s="12"/>
    </row>
    <row r="17" spans="1:34" ht="32.1" customHeight="1" x14ac:dyDescent="0.25">
      <c r="A17" s="10" t="s">
        <v>56</v>
      </c>
      <c r="B17" s="10" t="s">
        <v>66</v>
      </c>
      <c r="C17" s="10" t="s">
        <v>58</v>
      </c>
      <c r="D17" s="10" t="s">
        <v>59</v>
      </c>
      <c r="E17" s="10" t="s">
        <v>59</v>
      </c>
      <c r="F17" s="10" t="s">
        <v>64</v>
      </c>
      <c r="G17" s="11">
        <v>3</v>
      </c>
      <c r="H17" s="11">
        <v>172</v>
      </c>
      <c r="I17" s="11">
        <v>169</v>
      </c>
      <c r="J17" s="11">
        <v>3</v>
      </c>
      <c r="K17" s="11">
        <v>0</v>
      </c>
      <c r="L17" s="12">
        <v>83.451772650804401</v>
      </c>
      <c r="M17" s="12">
        <v>77.160096512914293</v>
      </c>
      <c r="N17" s="12">
        <v>142.87436302457979</v>
      </c>
      <c r="O17" s="12">
        <v>185.45090995398101</v>
      </c>
      <c r="P17" s="12">
        <v>21.631114264866039</v>
      </c>
      <c r="Q17" s="12">
        <v>221.40201848083831</v>
      </c>
      <c r="R17" s="12">
        <v>33.781808697664637</v>
      </c>
      <c r="S17" s="12">
        <v>0.40480636449774698</v>
      </c>
      <c r="T17" s="12">
        <v>20</v>
      </c>
      <c r="U17" s="12">
        <v>8.3000000000000007</v>
      </c>
      <c r="V17" s="12">
        <v>8.6</v>
      </c>
      <c r="W17" s="12">
        <v>8.6</v>
      </c>
      <c r="X17" s="12">
        <v>8.4499999999999993</v>
      </c>
      <c r="Y17" s="12">
        <v>1.7441860465116279</v>
      </c>
      <c r="Z17" s="12"/>
      <c r="AA17" s="12"/>
      <c r="AB17" s="11">
        <v>0</v>
      </c>
      <c r="AC17" s="12">
        <v>0</v>
      </c>
      <c r="AD17" s="11">
        <v>14</v>
      </c>
      <c r="AE17" s="13" t="b">
        <v>1</v>
      </c>
      <c r="AF17" s="10" t="s">
        <v>60</v>
      </c>
      <c r="AG17" s="10" t="s">
        <v>61</v>
      </c>
      <c r="AH17" s="12"/>
    </row>
    <row r="18" spans="1:34" ht="32.1" customHeight="1" x14ac:dyDescent="0.25">
      <c r="A18" s="10" t="s">
        <v>56</v>
      </c>
      <c r="B18" s="10" t="s">
        <v>67</v>
      </c>
      <c r="C18" s="10" t="s">
        <v>58</v>
      </c>
      <c r="D18" s="10" t="s">
        <v>59</v>
      </c>
      <c r="E18" s="10" t="s">
        <v>59</v>
      </c>
      <c r="F18" s="10" t="s">
        <v>5</v>
      </c>
      <c r="G18" s="11">
        <v>4</v>
      </c>
      <c r="H18" s="11">
        <v>830</v>
      </c>
      <c r="I18" s="11">
        <v>822</v>
      </c>
      <c r="J18" s="11">
        <v>8</v>
      </c>
      <c r="K18" s="11">
        <v>0</v>
      </c>
      <c r="L18" s="12">
        <v>64.593328420993416</v>
      </c>
      <c r="M18" s="12">
        <v>48.647238347481903</v>
      </c>
      <c r="N18" s="12">
        <v>148.37238558820701</v>
      </c>
      <c r="O18" s="12">
        <v>247.6471560170593</v>
      </c>
      <c r="P18" s="12">
        <v>13.85325010034523</v>
      </c>
      <c r="Q18" s="12">
        <v>1702.559988511872</v>
      </c>
      <c r="R18" s="12">
        <v>77.429397569810874</v>
      </c>
      <c r="S18" s="12">
        <v>1.1987212838012791</v>
      </c>
      <c r="T18" s="12">
        <v>20</v>
      </c>
      <c r="U18" s="12">
        <v>41.5</v>
      </c>
      <c r="V18" s="12">
        <v>41.5</v>
      </c>
      <c r="W18" s="12">
        <v>41.5</v>
      </c>
      <c r="X18" s="12">
        <v>41.1</v>
      </c>
      <c r="Y18" s="12">
        <v>0.96385542168674698</v>
      </c>
      <c r="Z18" s="12">
        <v>0</v>
      </c>
      <c r="AA18" s="12">
        <v>0</v>
      </c>
      <c r="AB18" s="11">
        <v>0</v>
      </c>
      <c r="AC18" s="12">
        <v>0</v>
      </c>
      <c r="AD18" s="11">
        <v>30</v>
      </c>
      <c r="AE18" s="13" t="b">
        <v>1</v>
      </c>
      <c r="AF18" s="10" t="s">
        <v>60</v>
      </c>
      <c r="AG18" s="10" t="s">
        <v>61</v>
      </c>
      <c r="AH18" s="12"/>
    </row>
    <row r="19" spans="1:34" ht="32.1" customHeight="1" x14ac:dyDescent="0.25">
      <c r="A19" s="10" t="s">
        <v>56</v>
      </c>
      <c r="B19" s="10" t="s">
        <v>67</v>
      </c>
      <c r="C19" s="10" t="s">
        <v>58</v>
      </c>
      <c r="D19" s="10" t="s">
        <v>59</v>
      </c>
      <c r="E19" s="10" t="s">
        <v>59</v>
      </c>
      <c r="F19" s="10" t="s">
        <v>62</v>
      </c>
      <c r="G19" s="11">
        <v>4</v>
      </c>
      <c r="H19" s="11">
        <v>96</v>
      </c>
      <c r="I19" s="11">
        <v>95</v>
      </c>
      <c r="J19" s="11">
        <v>1</v>
      </c>
      <c r="K19" s="11">
        <v>0</v>
      </c>
      <c r="L19" s="12">
        <v>159.6462275259027</v>
      </c>
      <c r="M19" s="12">
        <v>137.40863460470041</v>
      </c>
      <c r="N19" s="12">
        <v>261.2380486045995</v>
      </c>
      <c r="O19" s="12">
        <v>450.45181321985569</v>
      </c>
      <c r="P19" s="12">
        <v>49.701553706602887</v>
      </c>
      <c r="Q19" s="12">
        <v>1702.559988511872</v>
      </c>
      <c r="R19" s="12">
        <v>171.07403484369931</v>
      </c>
      <c r="S19" s="12">
        <v>1.0715820692721501</v>
      </c>
      <c r="T19" s="12">
        <v>20</v>
      </c>
      <c r="U19" s="12">
        <v>4.1500000000000004</v>
      </c>
      <c r="V19" s="12">
        <v>4.8</v>
      </c>
      <c r="W19" s="12">
        <v>4.8</v>
      </c>
      <c r="X19" s="12">
        <v>4.75</v>
      </c>
      <c r="Y19" s="12">
        <v>1.041666666666667</v>
      </c>
      <c r="Z19" s="12"/>
      <c r="AA19" s="12"/>
      <c r="AB19" s="11">
        <v>0</v>
      </c>
      <c r="AC19" s="12">
        <v>0</v>
      </c>
      <c r="AD19" s="11">
        <v>3</v>
      </c>
      <c r="AE19" s="13" t="b">
        <v>1</v>
      </c>
      <c r="AF19" s="10" t="s">
        <v>60</v>
      </c>
      <c r="AG19" s="10" t="s">
        <v>61</v>
      </c>
      <c r="AH19" s="12"/>
    </row>
    <row r="20" spans="1:34" ht="32.1" customHeight="1" x14ac:dyDescent="0.25">
      <c r="A20" s="10" t="s">
        <v>56</v>
      </c>
      <c r="B20" s="10" t="s">
        <v>67</v>
      </c>
      <c r="C20" s="10" t="s">
        <v>58</v>
      </c>
      <c r="D20" s="10" t="s">
        <v>59</v>
      </c>
      <c r="E20" s="10" t="s">
        <v>59</v>
      </c>
      <c r="F20" s="10" t="s">
        <v>63</v>
      </c>
      <c r="G20" s="11">
        <v>4</v>
      </c>
      <c r="H20" s="11">
        <v>574</v>
      </c>
      <c r="I20" s="11">
        <v>569</v>
      </c>
      <c r="J20" s="11">
        <v>5</v>
      </c>
      <c r="K20" s="11">
        <v>0</v>
      </c>
      <c r="L20" s="12">
        <v>47.260390499383703</v>
      </c>
      <c r="M20" s="12">
        <v>41.358389261954571</v>
      </c>
      <c r="N20" s="12">
        <v>85.990762557230212</v>
      </c>
      <c r="O20" s="12">
        <v>105.10478748149021</v>
      </c>
      <c r="P20" s="12">
        <v>13.85325010034523</v>
      </c>
      <c r="Q20" s="12">
        <v>924.16183852681957</v>
      </c>
      <c r="R20" s="12">
        <v>41.383822506620952</v>
      </c>
      <c r="S20" s="12">
        <v>0.87565553456780276</v>
      </c>
      <c r="T20" s="12">
        <v>20</v>
      </c>
      <c r="U20" s="12">
        <v>29.05</v>
      </c>
      <c r="V20" s="12">
        <v>28.7</v>
      </c>
      <c r="W20" s="12">
        <v>28.7</v>
      </c>
      <c r="X20" s="12">
        <v>28.45</v>
      </c>
      <c r="Y20" s="12">
        <v>0.87108013937282225</v>
      </c>
      <c r="Z20" s="12"/>
      <c r="AA20" s="12"/>
      <c r="AB20" s="11">
        <v>0</v>
      </c>
      <c r="AC20" s="12">
        <v>0</v>
      </c>
      <c r="AD20" s="11">
        <v>21</v>
      </c>
      <c r="AE20" s="13" t="b">
        <v>1</v>
      </c>
      <c r="AF20" s="10" t="s">
        <v>60</v>
      </c>
      <c r="AG20" s="10" t="s">
        <v>61</v>
      </c>
      <c r="AH20" s="12"/>
    </row>
    <row r="21" spans="1:34" ht="32.1" customHeight="1" x14ac:dyDescent="0.25">
      <c r="A21" s="10" t="s">
        <v>56</v>
      </c>
      <c r="B21" s="10" t="s">
        <v>67</v>
      </c>
      <c r="C21" s="10" t="s">
        <v>58</v>
      </c>
      <c r="D21" s="10" t="s">
        <v>59</v>
      </c>
      <c r="E21" s="10" t="s">
        <v>59</v>
      </c>
      <c r="F21" s="10" t="s">
        <v>64</v>
      </c>
      <c r="G21" s="11">
        <v>4</v>
      </c>
      <c r="H21" s="11">
        <v>160</v>
      </c>
      <c r="I21" s="11">
        <v>158</v>
      </c>
      <c r="J21" s="11">
        <v>2</v>
      </c>
      <c r="K21" s="11">
        <v>0</v>
      </c>
      <c r="L21" s="12">
        <v>69.743503751822757</v>
      </c>
      <c r="M21" s="12">
        <v>64.673645681133507</v>
      </c>
      <c r="N21" s="12">
        <v>127.1319922444045</v>
      </c>
      <c r="O21" s="12">
        <v>170.75816411262389</v>
      </c>
      <c r="P21" s="12">
        <v>21.592087867850939</v>
      </c>
      <c r="Q21" s="12">
        <v>209.39363518119879</v>
      </c>
      <c r="R21" s="12">
        <v>32.157672820883313</v>
      </c>
      <c r="S21" s="12">
        <v>0.46108484792094873</v>
      </c>
      <c r="T21" s="12">
        <v>20</v>
      </c>
      <c r="U21" s="12">
        <v>8.3000000000000007</v>
      </c>
      <c r="V21" s="12">
        <v>8</v>
      </c>
      <c r="W21" s="12">
        <v>8</v>
      </c>
      <c r="X21" s="12">
        <v>7.9</v>
      </c>
      <c r="Y21" s="12">
        <v>1.25</v>
      </c>
      <c r="Z21" s="12"/>
      <c r="AA21" s="12"/>
      <c r="AB21" s="11">
        <v>0</v>
      </c>
      <c r="AC21" s="12">
        <v>0</v>
      </c>
      <c r="AD21" s="11">
        <v>6</v>
      </c>
      <c r="AE21" s="13" t="b">
        <v>1</v>
      </c>
      <c r="AF21" s="10" t="s">
        <v>60</v>
      </c>
      <c r="AG21" s="10" t="s">
        <v>61</v>
      </c>
      <c r="AH21" s="12"/>
    </row>
    <row r="22" spans="1:34" ht="32.1" customHeight="1" x14ac:dyDescent="0.25">
      <c r="A22" s="10" t="s">
        <v>56</v>
      </c>
      <c r="B22" s="10" t="s">
        <v>68</v>
      </c>
      <c r="C22" s="10" t="s">
        <v>58</v>
      </c>
      <c r="D22" s="10" t="s">
        <v>59</v>
      </c>
      <c r="E22" s="10" t="s">
        <v>59</v>
      </c>
      <c r="F22" s="10" t="s">
        <v>5</v>
      </c>
      <c r="G22" s="11">
        <v>5</v>
      </c>
      <c r="H22" s="11">
        <v>830</v>
      </c>
      <c r="I22" s="11">
        <v>825</v>
      </c>
      <c r="J22" s="11">
        <v>5</v>
      </c>
      <c r="K22" s="11">
        <v>0</v>
      </c>
      <c r="L22" s="12">
        <v>76.548300517495633</v>
      </c>
      <c r="M22" s="12">
        <v>58.504724335420782</v>
      </c>
      <c r="N22" s="12">
        <v>176.06628058493271</v>
      </c>
      <c r="O22" s="12">
        <v>352.70529176699148</v>
      </c>
      <c r="P22" s="12">
        <v>13.628823673791279</v>
      </c>
      <c r="Q22" s="12">
        <v>1141.1705186334709</v>
      </c>
      <c r="R22" s="12">
        <v>74.935884052322848</v>
      </c>
      <c r="S22" s="12">
        <v>0.97893595998510441</v>
      </c>
      <c r="T22" s="12">
        <v>20</v>
      </c>
      <c r="U22" s="12">
        <v>41.5</v>
      </c>
      <c r="V22" s="12">
        <v>41.5</v>
      </c>
      <c r="W22" s="12">
        <v>41.5</v>
      </c>
      <c r="X22" s="12">
        <v>41.25</v>
      </c>
      <c r="Y22" s="12">
        <v>0.60240963855421692</v>
      </c>
      <c r="Z22" s="12">
        <v>0</v>
      </c>
      <c r="AA22" s="12">
        <v>0</v>
      </c>
      <c r="AB22" s="11">
        <v>0</v>
      </c>
      <c r="AC22" s="12">
        <v>0</v>
      </c>
      <c r="AD22" s="11">
        <v>49</v>
      </c>
      <c r="AE22" s="13" t="b">
        <v>1</v>
      </c>
      <c r="AF22" s="10" t="s">
        <v>60</v>
      </c>
      <c r="AG22" s="10" t="s">
        <v>61</v>
      </c>
      <c r="AH22" s="12"/>
    </row>
    <row r="23" spans="1:34" ht="32.1" customHeight="1" x14ac:dyDescent="0.25">
      <c r="A23" s="10" t="s">
        <v>56</v>
      </c>
      <c r="B23" s="10" t="s">
        <v>68</v>
      </c>
      <c r="C23" s="10" t="s">
        <v>58</v>
      </c>
      <c r="D23" s="10" t="s">
        <v>59</v>
      </c>
      <c r="E23" s="10" t="s">
        <v>59</v>
      </c>
      <c r="F23" s="10" t="s">
        <v>62</v>
      </c>
      <c r="G23" s="11">
        <v>5</v>
      </c>
      <c r="H23" s="11">
        <v>78</v>
      </c>
      <c r="I23" s="11">
        <v>77</v>
      </c>
      <c r="J23" s="11">
        <v>1</v>
      </c>
      <c r="K23" s="11">
        <v>0</v>
      </c>
      <c r="L23" s="12">
        <v>192.6787688559356</v>
      </c>
      <c r="M23" s="12">
        <v>171.3776428542771</v>
      </c>
      <c r="N23" s="12">
        <v>363.30294261844091</v>
      </c>
      <c r="O23" s="12">
        <v>395.94202765851549</v>
      </c>
      <c r="P23" s="12">
        <v>75.534784205628597</v>
      </c>
      <c r="Q23" s="12">
        <v>406.81314278879728</v>
      </c>
      <c r="R23" s="12">
        <v>86.080827504966564</v>
      </c>
      <c r="S23" s="12">
        <v>0.4467582391982613</v>
      </c>
      <c r="T23" s="12">
        <v>20</v>
      </c>
      <c r="U23" s="12">
        <v>4.1500000000000004</v>
      </c>
      <c r="V23" s="12">
        <v>3.9</v>
      </c>
      <c r="W23" s="12">
        <v>3.9</v>
      </c>
      <c r="X23" s="12">
        <v>3.85</v>
      </c>
      <c r="Y23" s="12">
        <v>1.2820512820512819</v>
      </c>
      <c r="Z23" s="12"/>
      <c r="AA23" s="12"/>
      <c r="AB23" s="11">
        <v>0</v>
      </c>
      <c r="AC23" s="12">
        <v>0</v>
      </c>
      <c r="AD23" s="11">
        <v>4</v>
      </c>
      <c r="AE23" s="13" t="b">
        <v>1</v>
      </c>
      <c r="AF23" s="10" t="s">
        <v>60</v>
      </c>
      <c r="AG23" s="10" t="s">
        <v>61</v>
      </c>
      <c r="AH23" s="12"/>
    </row>
    <row r="24" spans="1:34" ht="32.1" customHeight="1" x14ac:dyDescent="0.25">
      <c r="A24" s="10" t="s">
        <v>56</v>
      </c>
      <c r="B24" s="10" t="s">
        <v>68</v>
      </c>
      <c r="C24" s="10" t="s">
        <v>58</v>
      </c>
      <c r="D24" s="10" t="s">
        <v>59</v>
      </c>
      <c r="E24" s="10" t="s">
        <v>59</v>
      </c>
      <c r="F24" s="10" t="s">
        <v>63</v>
      </c>
      <c r="G24" s="11">
        <v>5</v>
      </c>
      <c r="H24" s="11">
        <v>597</v>
      </c>
      <c r="I24" s="11">
        <v>594</v>
      </c>
      <c r="J24" s="11">
        <v>3</v>
      </c>
      <c r="K24" s="11">
        <v>0</v>
      </c>
      <c r="L24" s="12">
        <v>57.953906779309122</v>
      </c>
      <c r="M24" s="12">
        <v>50.900259743920152</v>
      </c>
      <c r="N24" s="12">
        <v>101.9302572680043</v>
      </c>
      <c r="O24" s="12">
        <v>140.59785854219029</v>
      </c>
      <c r="P24" s="12">
        <v>13.628823673791279</v>
      </c>
      <c r="Q24" s="12">
        <v>855.45489677783667</v>
      </c>
      <c r="R24" s="12">
        <v>50.625464192067483</v>
      </c>
      <c r="S24" s="12">
        <v>0.8735470480851506</v>
      </c>
      <c r="T24" s="12">
        <v>20</v>
      </c>
      <c r="U24" s="12">
        <v>29.05</v>
      </c>
      <c r="V24" s="12">
        <v>29.85</v>
      </c>
      <c r="W24" s="12">
        <v>29.85</v>
      </c>
      <c r="X24" s="12">
        <v>29.7</v>
      </c>
      <c r="Y24" s="12">
        <v>0.50251256281407031</v>
      </c>
      <c r="Z24" s="12"/>
      <c r="AA24" s="12"/>
      <c r="AB24" s="11">
        <v>0</v>
      </c>
      <c r="AC24" s="12">
        <v>0</v>
      </c>
      <c r="AD24" s="11">
        <v>35</v>
      </c>
      <c r="AE24" s="13" t="b">
        <v>1</v>
      </c>
      <c r="AF24" s="10" t="s">
        <v>60</v>
      </c>
      <c r="AG24" s="10" t="s">
        <v>61</v>
      </c>
      <c r="AH24" s="12"/>
    </row>
    <row r="25" spans="1:34" ht="32.1" customHeight="1" x14ac:dyDescent="0.25">
      <c r="A25" s="10" t="s">
        <v>56</v>
      </c>
      <c r="B25" s="10" t="s">
        <v>68</v>
      </c>
      <c r="C25" s="10" t="s">
        <v>58</v>
      </c>
      <c r="D25" s="10" t="s">
        <v>59</v>
      </c>
      <c r="E25" s="10" t="s">
        <v>59</v>
      </c>
      <c r="F25" s="10" t="s">
        <v>64</v>
      </c>
      <c r="G25" s="11">
        <v>5</v>
      </c>
      <c r="H25" s="11">
        <v>155</v>
      </c>
      <c r="I25" s="11">
        <v>154</v>
      </c>
      <c r="J25" s="11">
        <v>1</v>
      </c>
      <c r="K25" s="11">
        <v>0</v>
      </c>
      <c r="L25" s="12">
        <v>89.726858783941083</v>
      </c>
      <c r="M25" s="12">
        <v>76.903307129768123</v>
      </c>
      <c r="N25" s="12">
        <v>141.08288919391319</v>
      </c>
      <c r="O25" s="12">
        <v>201.25520164110469</v>
      </c>
      <c r="P25" s="12">
        <v>27.288487474705999</v>
      </c>
      <c r="Q25" s="12">
        <v>1141.1705186334709</v>
      </c>
      <c r="R25" s="12">
        <v>90.876623080567157</v>
      </c>
      <c r="S25" s="12">
        <v>1.0128140482371579</v>
      </c>
      <c r="T25" s="12">
        <v>20</v>
      </c>
      <c r="U25" s="12">
        <v>8.3000000000000007</v>
      </c>
      <c r="V25" s="12">
        <v>7.75</v>
      </c>
      <c r="W25" s="12">
        <v>7.75</v>
      </c>
      <c r="X25" s="12">
        <v>7.7</v>
      </c>
      <c r="Y25" s="12">
        <v>0.64516129032258063</v>
      </c>
      <c r="Z25" s="12"/>
      <c r="AA25" s="12"/>
      <c r="AB25" s="11">
        <v>0</v>
      </c>
      <c r="AC25" s="12">
        <v>0</v>
      </c>
      <c r="AD25" s="11">
        <v>10</v>
      </c>
      <c r="AE25" s="13" t="b">
        <v>1</v>
      </c>
      <c r="AF25" s="10" t="s">
        <v>60</v>
      </c>
      <c r="AG25" s="10" t="s">
        <v>61</v>
      </c>
      <c r="AH25" s="12"/>
    </row>
    <row r="26" spans="1:34" ht="32.1" customHeight="1" x14ac:dyDescent="0.25">
      <c r="A26" s="10" t="s">
        <v>56</v>
      </c>
      <c r="B26" s="10" t="s">
        <v>69</v>
      </c>
      <c r="C26" s="10" t="s">
        <v>58</v>
      </c>
      <c r="D26" s="10" t="s">
        <v>70</v>
      </c>
      <c r="E26" s="10" t="s">
        <v>70</v>
      </c>
      <c r="F26" s="10" t="s">
        <v>5</v>
      </c>
      <c r="G26" s="11">
        <v>1</v>
      </c>
      <c r="H26" s="11">
        <v>21</v>
      </c>
      <c r="I26" s="11">
        <v>19</v>
      </c>
      <c r="J26" s="11">
        <v>2</v>
      </c>
      <c r="K26" s="11">
        <v>0</v>
      </c>
      <c r="L26" s="12">
        <v>95.599178619007958</v>
      </c>
      <c r="M26" s="12">
        <v>57.176987104140153</v>
      </c>
      <c r="N26" s="12">
        <v>165.63791703377689</v>
      </c>
      <c r="O26" s="12">
        <v>574.83334008328723</v>
      </c>
      <c r="P26" s="12">
        <v>23.926021009329808</v>
      </c>
      <c r="Q26" s="12">
        <v>677.13219584566434</v>
      </c>
      <c r="R26" s="12">
        <v>138.1462329241954</v>
      </c>
      <c r="S26" s="12">
        <v>1.445056693162087</v>
      </c>
      <c r="T26" s="12">
        <v>20.096170999999998</v>
      </c>
      <c r="U26" s="12"/>
      <c r="V26" s="12">
        <v>1.0449751845762061</v>
      </c>
      <c r="W26" s="12">
        <v>1.0449751845762061</v>
      </c>
      <c r="X26" s="12">
        <v>0.94545373842609115</v>
      </c>
      <c r="Y26" s="12">
        <v>9.5238095238095237</v>
      </c>
      <c r="Z26" s="12">
        <v>0</v>
      </c>
      <c r="AA26" s="12">
        <v>0</v>
      </c>
      <c r="AB26" s="11">
        <v>1</v>
      </c>
      <c r="AC26" s="12">
        <v>4.7619047619047619</v>
      </c>
      <c r="AD26" s="11">
        <v>2</v>
      </c>
      <c r="AE26" s="13" t="b">
        <v>0</v>
      </c>
      <c r="AF26" s="10" t="s">
        <v>60</v>
      </c>
      <c r="AG26" s="10" t="s">
        <v>61</v>
      </c>
      <c r="AH26" s="10" t="s">
        <v>71</v>
      </c>
    </row>
    <row r="27" spans="1:34" ht="32.1" customHeight="1" x14ac:dyDescent="0.25">
      <c r="A27" s="10" t="s">
        <v>56</v>
      </c>
      <c r="B27" s="10" t="s">
        <v>69</v>
      </c>
      <c r="C27" s="10" t="s">
        <v>58</v>
      </c>
      <c r="D27" s="10" t="s">
        <v>70</v>
      </c>
      <c r="E27" s="10" t="s">
        <v>70</v>
      </c>
      <c r="F27" s="10" t="s">
        <v>62</v>
      </c>
      <c r="G27" s="11">
        <v>1</v>
      </c>
      <c r="H27" s="11">
        <v>4</v>
      </c>
      <c r="I27" s="11">
        <v>3</v>
      </c>
      <c r="J27" s="11">
        <v>1</v>
      </c>
      <c r="K27" s="11">
        <v>0</v>
      </c>
      <c r="L27" s="12">
        <v>124.8119754509174</v>
      </c>
      <c r="M27" s="12">
        <v>117.1216215028735</v>
      </c>
      <c r="N27" s="12">
        <v>159.1134504668731</v>
      </c>
      <c r="O27" s="12">
        <v>164.33302372039611</v>
      </c>
      <c r="P27" s="12">
        <v>99.366741764145985</v>
      </c>
      <c r="Q27" s="12">
        <v>165.63791703377689</v>
      </c>
      <c r="R27" s="12">
        <v>28.768607511248721</v>
      </c>
      <c r="S27" s="12">
        <v>0.2304955706959548</v>
      </c>
      <c r="T27" s="12">
        <v>20.096170999999998</v>
      </c>
      <c r="U27" s="12"/>
      <c r="V27" s="12">
        <v>0.1990428923002297</v>
      </c>
      <c r="W27" s="12">
        <v>0.1990428923002297</v>
      </c>
      <c r="X27" s="12">
        <v>0.14928216922517229</v>
      </c>
      <c r="Y27" s="12">
        <v>25</v>
      </c>
      <c r="Z27" s="12"/>
      <c r="AA27" s="12"/>
      <c r="AB27" s="11">
        <v>0</v>
      </c>
      <c r="AC27" s="12">
        <v>0</v>
      </c>
      <c r="AD27" s="11">
        <v>0</v>
      </c>
      <c r="AE27" s="13" t="b">
        <v>0</v>
      </c>
      <c r="AF27" s="10" t="s">
        <v>60</v>
      </c>
      <c r="AG27" s="10" t="s">
        <v>61</v>
      </c>
      <c r="AH27" s="10" t="s">
        <v>71</v>
      </c>
    </row>
    <row r="28" spans="1:34" ht="32.1" customHeight="1" x14ac:dyDescent="0.25">
      <c r="A28" s="10" t="s">
        <v>56</v>
      </c>
      <c r="B28" s="10" t="s">
        <v>69</v>
      </c>
      <c r="C28" s="10" t="s">
        <v>58</v>
      </c>
      <c r="D28" s="10" t="s">
        <v>70</v>
      </c>
      <c r="E28" s="10" t="s">
        <v>70</v>
      </c>
      <c r="F28" s="10" t="s">
        <v>63</v>
      </c>
      <c r="G28" s="11">
        <v>1</v>
      </c>
      <c r="H28" s="11">
        <v>15</v>
      </c>
      <c r="I28" s="11">
        <v>15</v>
      </c>
      <c r="J28" s="11">
        <v>0</v>
      </c>
      <c r="K28" s="11">
        <v>0</v>
      </c>
      <c r="L28" s="12">
        <v>90.098282291841727</v>
      </c>
      <c r="M28" s="12">
        <v>49.99220940878395</v>
      </c>
      <c r="N28" s="12">
        <v>269.05956979074313</v>
      </c>
      <c r="O28" s="12">
        <v>595.51767063467992</v>
      </c>
      <c r="P28" s="12">
        <v>23.926021009329808</v>
      </c>
      <c r="Q28" s="12">
        <v>677.13219584566434</v>
      </c>
      <c r="R28" s="12">
        <v>163.41103732225511</v>
      </c>
      <c r="S28" s="12">
        <v>1.813697588517198</v>
      </c>
      <c r="T28" s="12">
        <v>20.096170999999998</v>
      </c>
      <c r="U28" s="12"/>
      <c r="V28" s="12">
        <v>0.7464108461258615</v>
      </c>
      <c r="W28" s="12">
        <v>0.7464108461258615</v>
      </c>
      <c r="X28" s="12">
        <v>0.7464108461258615</v>
      </c>
      <c r="Y28" s="12">
        <v>0</v>
      </c>
      <c r="Z28" s="12"/>
      <c r="AA28" s="12"/>
      <c r="AB28" s="11">
        <v>1</v>
      </c>
      <c r="AC28" s="12">
        <v>6.666666666666667</v>
      </c>
      <c r="AD28" s="11">
        <v>2</v>
      </c>
      <c r="AE28" s="13" t="b">
        <v>0</v>
      </c>
      <c r="AF28" s="10" t="s">
        <v>60</v>
      </c>
      <c r="AG28" s="10" t="s">
        <v>61</v>
      </c>
      <c r="AH28" s="10" t="s">
        <v>71</v>
      </c>
    </row>
    <row r="29" spans="1:34" ht="32.1" customHeight="1" x14ac:dyDescent="0.25">
      <c r="A29" s="10" t="s">
        <v>56</v>
      </c>
      <c r="B29" s="10" t="s">
        <v>69</v>
      </c>
      <c r="C29" s="10" t="s">
        <v>58</v>
      </c>
      <c r="D29" s="10" t="s">
        <v>70</v>
      </c>
      <c r="E29" s="10" t="s">
        <v>70</v>
      </c>
      <c r="F29" s="10" t="s">
        <v>64</v>
      </c>
      <c r="G29" s="11">
        <v>1</v>
      </c>
      <c r="H29" s="11">
        <v>2</v>
      </c>
      <c r="I29" s="11">
        <v>1</v>
      </c>
      <c r="J29" s="11">
        <v>1</v>
      </c>
      <c r="K29" s="11">
        <v>0</v>
      </c>
      <c r="L29" s="12">
        <v>78.430307408935818</v>
      </c>
      <c r="M29" s="12">
        <v>78.430307408935818</v>
      </c>
      <c r="N29" s="12">
        <v>97.558295683251913</v>
      </c>
      <c r="O29" s="12">
        <v>99.25856130763556</v>
      </c>
      <c r="P29" s="12">
        <v>57.176987104140153</v>
      </c>
      <c r="Q29" s="12">
        <v>99.683627713731482</v>
      </c>
      <c r="R29" s="12">
        <v>30.05673382050152</v>
      </c>
      <c r="S29" s="12">
        <v>0.38322856066068478</v>
      </c>
      <c r="T29" s="12">
        <v>20.096170999999998</v>
      </c>
      <c r="U29" s="12"/>
      <c r="V29" s="12">
        <v>9.9521446150114795E-2</v>
      </c>
      <c r="W29" s="12">
        <v>9.9521446150114795E-2</v>
      </c>
      <c r="X29" s="12">
        <v>4.9760723075057398E-2</v>
      </c>
      <c r="Y29" s="12">
        <v>50</v>
      </c>
      <c r="Z29" s="12"/>
      <c r="AA29" s="12"/>
      <c r="AB29" s="11">
        <v>0</v>
      </c>
      <c r="AC29" s="12">
        <v>0</v>
      </c>
      <c r="AD29" s="11">
        <v>0</v>
      </c>
      <c r="AE29" s="13" t="b">
        <v>0</v>
      </c>
      <c r="AF29" s="10" t="s">
        <v>60</v>
      </c>
      <c r="AG29" s="10" t="s">
        <v>61</v>
      </c>
      <c r="AH29" s="10" t="s">
        <v>71</v>
      </c>
    </row>
    <row r="30" spans="1:34" ht="32.1" customHeight="1" x14ac:dyDescent="0.25">
      <c r="A30" s="10" t="s">
        <v>56</v>
      </c>
      <c r="B30" s="10" t="s">
        <v>72</v>
      </c>
      <c r="C30" s="10" t="s">
        <v>58</v>
      </c>
      <c r="D30" s="10" t="s">
        <v>70</v>
      </c>
      <c r="E30" s="10" t="s">
        <v>70</v>
      </c>
      <c r="F30" s="10" t="s">
        <v>5</v>
      </c>
      <c r="G30" s="11">
        <v>2</v>
      </c>
      <c r="H30" s="11">
        <v>21</v>
      </c>
      <c r="I30" s="11">
        <v>21</v>
      </c>
      <c r="J30" s="11">
        <v>0</v>
      </c>
      <c r="K30" s="11">
        <v>0</v>
      </c>
      <c r="L30" s="12">
        <v>43.111234446322911</v>
      </c>
      <c r="M30" s="12">
        <v>35.31155228363216</v>
      </c>
      <c r="N30" s="12">
        <v>86.840597523793647</v>
      </c>
      <c r="O30" s="12">
        <v>122.098908568026</v>
      </c>
      <c r="P30" s="12">
        <v>15.15965331687366</v>
      </c>
      <c r="Q30" s="12">
        <v>130.91348632908401</v>
      </c>
      <c r="R30" s="12">
        <v>26.318090960252238</v>
      </c>
      <c r="S30" s="12">
        <v>0.61046943559504108</v>
      </c>
      <c r="T30" s="12">
        <v>20.031224000000002</v>
      </c>
      <c r="U30" s="12"/>
      <c r="V30" s="12">
        <v>1.0483632952234969</v>
      </c>
      <c r="W30" s="12">
        <v>1.0483632952234969</v>
      </c>
      <c r="X30" s="12">
        <v>1.0483632952234969</v>
      </c>
      <c r="Y30" s="12">
        <v>0</v>
      </c>
      <c r="Z30" s="12">
        <v>0</v>
      </c>
      <c r="AA30" s="12">
        <v>0</v>
      </c>
      <c r="AB30" s="11">
        <v>0</v>
      </c>
      <c r="AC30" s="12">
        <v>0</v>
      </c>
      <c r="AD30" s="11">
        <v>2</v>
      </c>
      <c r="AE30" s="13" t="b">
        <v>0</v>
      </c>
      <c r="AF30" s="10" t="s">
        <v>60</v>
      </c>
      <c r="AG30" s="10" t="s">
        <v>61</v>
      </c>
      <c r="AH30" s="10" t="s">
        <v>71</v>
      </c>
    </row>
    <row r="31" spans="1:34" ht="32.1" customHeight="1" x14ac:dyDescent="0.25">
      <c r="A31" s="10" t="s">
        <v>56</v>
      </c>
      <c r="B31" s="10" t="s">
        <v>72</v>
      </c>
      <c r="C31" s="10" t="s">
        <v>58</v>
      </c>
      <c r="D31" s="10" t="s">
        <v>70</v>
      </c>
      <c r="E31" s="10" t="s">
        <v>70</v>
      </c>
      <c r="F31" s="10" t="s">
        <v>62</v>
      </c>
      <c r="G31" s="11">
        <v>2</v>
      </c>
      <c r="H31" s="11">
        <v>1</v>
      </c>
      <c r="I31" s="11">
        <v>1</v>
      </c>
      <c r="J31" s="11">
        <v>0</v>
      </c>
      <c r="K31" s="11">
        <v>0</v>
      </c>
      <c r="L31" s="12">
        <v>130.91348632908401</v>
      </c>
      <c r="M31" s="12">
        <v>130.91348632908401</v>
      </c>
      <c r="N31" s="12">
        <v>130.91348632908401</v>
      </c>
      <c r="O31" s="12">
        <v>130.91348632908401</v>
      </c>
      <c r="P31" s="12">
        <v>130.91348632908401</v>
      </c>
      <c r="Q31" s="12">
        <v>130.91348632908401</v>
      </c>
      <c r="R31" s="12"/>
      <c r="S31" s="12"/>
      <c r="T31" s="12">
        <v>20.031224000000002</v>
      </c>
      <c r="U31" s="12"/>
      <c r="V31" s="12">
        <v>4.9922061677309303E-2</v>
      </c>
      <c r="W31" s="12">
        <v>4.9922061677309303E-2</v>
      </c>
      <c r="X31" s="12">
        <v>4.9922061677309303E-2</v>
      </c>
      <c r="Y31" s="12">
        <v>0</v>
      </c>
      <c r="Z31" s="12"/>
      <c r="AA31" s="12"/>
      <c r="AB31" s="11">
        <v>0</v>
      </c>
      <c r="AC31" s="12">
        <v>0</v>
      </c>
      <c r="AD31" s="11">
        <v>0</v>
      </c>
      <c r="AE31" s="13" t="b">
        <v>0</v>
      </c>
      <c r="AF31" s="10" t="s">
        <v>60</v>
      </c>
      <c r="AG31" s="10" t="s">
        <v>61</v>
      </c>
      <c r="AH31" s="10" t="s">
        <v>71</v>
      </c>
    </row>
    <row r="32" spans="1:34" ht="32.1" customHeight="1" x14ac:dyDescent="0.25">
      <c r="A32" s="10" t="s">
        <v>56</v>
      </c>
      <c r="B32" s="10" t="s">
        <v>72</v>
      </c>
      <c r="C32" s="10" t="s">
        <v>58</v>
      </c>
      <c r="D32" s="10" t="s">
        <v>70</v>
      </c>
      <c r="E32" s="10" t="s">
        <v>70</v>
      </c>
      <c r="F32" s="10" t="s">
        <v>63</v>
      </c>
      <c r="G32" s="11">
        <v>2</v>
      </c>
      <c r="H32" s="11">
        <v>18</v>
      </c>
      <c r="I32" s="11">
        <v>18</v>
      </c>
      <c r="J32" s="11">
        <v>0</v>
      </c>
      <c r="K32" s="11">
        <v>0</v>
      </c>
      <c r="L32" s="12">
        <v>35.367834649915828</v>
      </c>
      <c r="M32" s="12">
        <v>33.455960776016191</v>
      </c>
      <c r="N32" s="12">
        <v>64.054360368049856</v>
      </c>
      <c r="O32" s="12">
        <v>65.405857214818454</v>
      </c>
      <c r="P32" s="12">
        <v>15.15965331687366</v>
      </c>
      <c r="Q32" s="12">
        <v>65.743731426510607</v>
      </c>
      <c r="R32" s="12">
        <v>13.482985683286261</v>
      </c>
      <c r="S32" s="12">
        <v>0.3812216896156051</v>
      </c>
      <c r="T32" s="12">
        <v>20.031224000000002</v>
      </c>
      <c r="U32" s="12"/>
      <c r="V32" s="12">
        <v>0.89859711019156885</v>
      </c>
      <c r="W32" s="12">
        <v>0.89859711019156885</v>
      </c>
      <c r="X32" s="12">
        <v>0.89859711019156885</v>
      </c>
      <c r="Y32" s="12">
        <v>0</v>
      </c>
      <c r="Z32" s="12"/>
      <c r="AA32" s="12"/>
      <c r="AB32" s="11">
        <v>0</v>
      </c>
      <c r="AC32" s="12">
        <v>0</v>
      </c>
      <c r="AD32" s="11">
        <v>1</v>
      </c>
      <c r="AE32" s="13" t="b">
        <v>0</v>
      </c>
      <c r="AF32" s="10" t="s">
        <v>60</v>
      </c>
      <c r="AG32" s="10" t="s">
        <v>61</v>
      </c>
      <c r="AH32" s="10" t="s">
        <v>71</v>
      </c>
    </row>
    <row r="33" spans="1:34" ht="32.1" customHeight="1" x14ac:dyDescent="0.25">
      <c r="A33" s="10" t="s">
        <v>56</v>
      </c>
      <c r="B33" s="10" t="s">
        <v>72</v>
      </c>
      <c r="C33" s="10" t="s">
        <v>58</v>
      </c>
      <c r="D33" s="10" t="s">
        <v>70</v>
      </c>
      <c r="E33" s="10" t="s">
        <v>70</v>
      </c>
      <c r="F33" s="10" t="s">
        <v>64</v>
      </c>
      <c r="G33" s="11">
        <v>2</v>
      </c>
      <c r="H33" s="11">
        <v>2</v>
      </c>
      <c r="I33" s="11">
        <v>2</v>
      </c>
      <c r="J33" s="11">
        <v>0</v>
      </c>
      <c r="K33" s="11">
        <v>0</v>
      </c>
      <c r="L33" s="12">
        <v>68.900706672606049</v>
      </c>
      <c r="M33" s="12">
        <v>68.900706672606049</v>
      </c>
      <c r="N33" s="12">
        <v>85.04660843867488</v>
      </c>
      <c r="O33" s="12">
        <v>86.481799706769891</v>
      </c>
      <c r="P33" s="12">
        <v>50.960815821418443</v>
      </c>
      <c r="Q33" s="12">
        <v>86.840597523793647</v>
      </c>
      <c r="R33" s="12">
        <v>25.37083694924252</v>
      </c>
      <c r="S33" s="12">
        <v>0.36822317468812837</v>
      </c>
      <c r="T33" s="12">
        <v>20.031224000000002</v>
      </c>
      <c r="U33" s="12"/>
      <c r="V33" s="12">
        <v>9.9844123354618702E-2</v>
      </c>
      <c r="W33" s="12">
        <v>9.9844123354618702E-2</v>
      </c>
      <c r="X33" s="12">
        <v>9.9844123354618702E-2</v>
      </c>
      <c r="Y33" s="12">
        <v>0</v>
      </c>
      <c r="Z33" s="12"/>
      <c r="AA33" s="12"/>
      <c r="AB33" s="11">
        <v>0</v>
      </c>
      <c r="AC33" s="12">
        <v>0</v>
      </c>
      <c r="AD33" s="11">
        <v>1</v>
      </c>
      <c r="AE33" s="13" t="b">
        <v>0</v>
      </c>
      <c r="AF33" s="10" t="s">
        <v>60</v>
      </c>
      <c r="AG33" s="10" t="s">
        <v>61</v>
      </c>
      <c r="AH33" s="10" t="s">
        <v>71</v>
      </c>
    </row>
    <row r="34" spans="1:34" ht="32.1" customHeight="1" x14ac:dyDescent="0.25">
      <c r="A34" s="10" t="s">
        <v>56</v>
      </c>
      <c r="B34" s="10" t="s">
        <v>73</v>
      </c>
      <c r="C34" s="10" t="s">
        <v>58</v>
      </c>
      <c r="D34" s="10" t="s">
        <v>70</v>
      </c>
      <c r="E34" s="10" t="s">
        <v>70</v>
      </c>
      <c r="F34" s="10" t="s">
        <v>5</v>
      </c>
      <c r="G34" s="11">
        <v>3</v>
      </c>
      <c r="H34" s="11">
        <v>21</v>
      </c>
      <c r="I34" s="11">
        <v>21</v>
      </c>
      <c r="J34" s="11">
        <v>0</v>
      </c>
      <c r="K34" s="11">
        <v>0</v>
      </c>
      <c r="L34" s="12">
        <v>60.670764595697527</v>
      </c>
      <c r="M34" s="12">
        <v>34.626410254827029</v>
      </c>
      <c r="N34" s="12">
        <v>142.21459262417179</v>
      </c>
      <c r="O34" s="12">
        <v>321.20866355301791</v>
      </c>
      <c r="P34" s="12">
        <v>11.780605316355629</v>
      </c>
      <c r="Q34" s="12">
        <v>365.9571812852293</v>
      </c>
      <c r="R34" s="12">
        <v>77.244683195397897</v>
      </c>
      <c r="S34" s="12">
        <v>1.273178007729866</v>
      </c>
      <c r="T34" s="12">
        <v>20.013781000000002</v>
      </c>
      <c r="U34" s="12"/>
      <c r="V34" s="12">
        <v>1.0492769956861221</v>
      </c>
      <c r="W34" s="12">
        <v>1.0492769956861221</v>
      </c>
      <c r="X34" s="12">
        <v>1.0492769956861221</v>
      </c>
      <c r="Y34" s="12">
        <v>0</v>
      </c>
      <c r="Z34" s="12">
        <v>0</v>
      </c>
      <c r="AA34" s="12">
        <v>0</v>
      </c>
      <c r="AB34" s="11">
        <v>1</v>
      </c>
      <c r="AC34" s="12">
        <v>4.7619047619047619</v>
      </c>
      <c r="AD34" s="11">
        <v>1</v>
      </c>
      <c r="AE34" s="13" t="b">
        <v>0</v>
      </c>
      <c r="AF34" s="10" t="s">
        <v>60</v>
      </c>
      <c r="AG34" s="10" t="s">
        <v>61</v>
      </c>
      <c r="AH34" s="10" t="s">
        <v>71</v>
      </c>
    </row>
    <row r="35" spans="1:34" ht="32.1" customHeight="1" x14ac:dyDescent="0.25">
      <c r="A35" s="10" t="s">
        <v>56</v>
      </c>
      <c r="B35" s="10" t="s">
        <v>73</v>
      </c>
      <c r="C35" s="10" t="s">
        <v>58</v>
      </c>
      <c r="D35" s="10" t="s">
        <v>70</v>
      </c>
      <c r="E35" s="10" t="s">
        <v>70</v>
      </c>
      <c r="F35" s="10" t="s">
        <v>62</v>
      </c>
      <c r="G35" s="11">
        <v>3</v>
      </c>
      <c r="H35" s="11">
        <v>2</v>
      </c>
      <c r="I35" s="11">
        <v>2</v>
      </c>
      <c r="J35" s="11">
        <v>0</v>
      </c>
      <c r="K35" s="11">
        <v>0</v>
      </c>
      <c r="L35" s="12">
        <v>136.362034968632</v>
      </c>
      <c r="M35" s="12">
        <v>136.362034968632</v>
      </c>
      <c r="N35" s="12">
        <v>141.62933685861779</v>
      </c>
      <c r="O35" s="12">
        <v>142.09754147106099</v>
      </c>
      <c r="P35" s="12">
        <v>130.50947731309219</v>
      </c>
      <c r="Q35" s="12">
        <v>142.21459262417179</v>
      </c>
      <c r="R35" s="12">
        <v>8.2767664110348669</v>
      </c>
      <c r="S35" s="12">
        <v>6.0696999813318997E-2</v>
      </c>
      <c r="T35" s="12">
        <v>20.013781000000002</v>
      </c>
      <c r="U35" s="12"/>
      <c r="V35" s="12">
        <v>9.9931142446297305E-2</v>
      </c>
      <c r="W35" s="12">
        <v>9.9931142446297305E-2</v>
      </c>
      <c r="X35" s="12">
        <v>9.9931142446297305E-2</v>
      </c>
      <c r="Y35" s="12">
        <v>0</v>
      </c>
      <c r="Z35" s="12"/>
      <c r="AA35" s="12"/>
      <c r="AB35" s="11">
        <v>0</v>
      </c>
      <c r="AC35" s="12">
        <v>0</v>
      </c>
      <c r="AD35" s="11">
        <v>0</v>
      </c>
      <c r="AE35" s="13" t="b">
        <v>0</v>
      </c>
      <c r="AF35" s="10" t="s">
        <v>60</v>
      </c>
      <c r="AG35" s="10" t="s">
        <v>61</v>
      </c>
      <c r="AH35" s="10" t="s">
        <v>71</v>
      </c>
    </row>
    <row r="36" spans="1:34" ht="32.1" customHeight="1" x14ac:dyDescent="0.25">
      <c r="A36" s="10" t="s">
        <v>56</v>
      </c>
      <c r="B36" s="10" t="s">
        <v>73</v>
      </c>
      <c r="C36" s="10" t="s">
        <v>58</v>
      </c>
      <c r="D36" s="10" t="s">
        <v>70</v>
      </c>
      <c r="E36" s="10" t="s">
        <v>70</v>
      </c>
      <c r="F36" s="10" t="s">
        <v>63</v>
      </c>
      <c r="G36" s="11">
        <v>3</v>
      </c>
      <c r="H36" s="11">
        <v>15</v>
      </c>
      <c r="I36" s="11">
        <v>15</v>
      </c>
      <c r="J36" s="11">
        <v>0</v>
      </c>
      <c r="K36" s="11">
        <v>0</v>
      </c>
      <c r="L36" s="12">
        <v>54.286896002904932</v>
      </c>
      <c r="M36" s="12">
        <v>34.442244970148089</v>
      </c>
      <c r="N36" s="12">
        <v>143.18805063185391</v>
      </c>
      <c r="O36" s="12">
        <v>321.40335515455399</v>
      </c>
      <c r="P36" s="12">
        <v>11.780605316355629</v>
      </c>
      <c r="Q36" s="12">
        <v>365.9571812852293</v>
      </c>
      <c r="R36" s="12">
        <v>86.688473429781965</v>
      </c>
      <c r="S36" s="12">
        <v>1.59685817043478</v>
      </c>
      <c r="T36" s="12">
        <v>20.013781000000002</v>
      </c>
      <c r="U36" s="12"/>
      <c r="V36" s="12">
        <v>0.74948356834723029</v>
      </c>
      <c r="W36" s="12">
        <v>0.74948356834723029</v>
      </c>
      <c r="X36" s="12">
        <v>0.74948356834723029</v>
      </c>
      <c r="Y36" s="12">
        <v>0</v>
      </c>
      <c r="Z36" s="12"/>
      <c r="AA36" s="12"/>
      <c r="AB36" s="11">
        <v>1</v>
      </c>
      <c r="AC36" s="12">
        <v>6.666666666666667</v>
      </c>
      <c r="AD36" s="11">
        <v>1</v>
      </c>
      <c r="AE36" s="13" t="b">
        <v>0</v>
      </c>
      <c r="AF36" s="10" t="s">
        <v>60</v>
      </c>
      <c r="AG36" s="10" t="s">
        <v>61</v>
      </c>
      <c r="AH36" s="10" t="s">
        <v>71</v>
      </c>
    </row>
    <row r="37" spans="1:34" ht="32.1" customHeight="1" x14ac:dyDescent="0.25">
      <c r="A37" s="10" t="s">
        <v>56</v>
      </c>
      <c r="B37" s="10" t="s">
        <v>73</v>
      </c>
      <c r="C37" s="10" t="s">
        <v>58</v>
      </c>
      <c r="D37" s="10" t="s">
        <v>70</v>
      </c>
      <c r="E37" s="10" t="s">
        <v>70</v>
      </c>
      <c r="F37" s="10" t="s">
        <v>64</v>
      </c>
      <c r="G37" s="11">
        <v>3</v>
      </c>
      <c r="H37" s="11">
        <v>4</v>
      </c>
      <c r="I37" s="11">
        <v>4</v>
      </c>
      <c r="J37" s="11">
        <v>0</v>
      </c>
      <c r="K37" s="11">
        <v>0</v>
      </c>
      <c r="L37" s="12">
        <v>46.764636632202539</v>
      </c>
      <c r="M37" s="12">
        <v>45.985441504804477</v>
      </c>
      <c r="N37" s="12">
        <v>66.592035096108617</v>
      </c>
      <c r="O37" s="12">
        <v>67.514531202959006</v>
      </c>
      <c r="P37" s="12">
        <v>27.342508289529569</v>
      </c>
      <c r="Q37" s="12">
        <v>67.74515522967161</v>
      </c>
      <c r="R37" s="12">
        <v>20.12189308923951</v>
      </c>
      <c r="S37" s="12">
        <v>0.43028011203199212</v>
      </c>
      <c r="T37" s="12">
        <v>20.013781000000002</v>
      </c>
      <c r="U37" s="12"/>
      <c r="V37" s="12">
        <v>0.19986228489259469</v>
      </c>
      <c r="W37" s="12">
        <v>0.19986228489259469</v>
      </c>
      <c r="X37" s="12">
        <v>0.19986228489259469</v>
      </c>
      <c r="Y37" s="12">
        <v>0</v>
      </c>
      <c r="Z37" s="12"/>
      <c r="AA37" s="12"/>
      <c r="AB37" s="11">
        <v>0</v>
      </c>
      <c r="AC37" s="12">
        <v>0</v>
      </c>
      <c r="AD37" s="11">
        <v>0</v>
      </c>
      <c r="AE37" s="13" t="b">
        <v>0</v>
      </c>
      <c r="AF37" s="10" t="s">
        <v>60</v>
      </c>
      <c r="AG37" s="10" t="s">
        <v>61</v>
      </c>
      <c r="AH37" s="10" t="s">
        <v>71</v>
      </c>
    </row>
    <row r="38" spans="1:34" ht="32.1" customHeight="1" x14ac:dyDescent="0.25">
      <c r="A38" s="10" t="s">
        <v>56</v>
      </c>
      <c r="B38" s="10" t="s">
        <v>74</v>
      </c>
      <c r="C38" s="10" t="s">
        <v>58</v>
      </c>
      <c r="D38" s="10" t="s">
        <v>70</v>
      </c>
      <c r="E38" s="10" t="s">
        <v>70</v>
      </c>
      <c r="F38" s="10" t="s">
        <v>5</v>
      </c>
      <c r="G38" s="11">
        <v>4</v>
      </c>
      <c r="H38" s="11">
        <v>21</v>
      </c>
      <c r="I38" s="11">
        <v>20</v>
      </c>
      <c r="J38" s="11">
        <v>1</v>
      </c>
      <c r="K38" s="11">
        <v>0</v>
      </c>
      <c r="L38" s="12">
        <v>83.215247526081669</v>
      </c>
      <c r="M38" s="12">
        <v>43.411608365033914</v>
      </c>
      <c r="N38" s="12">
        <v>110.982535679668</v>
      </c>
      <c r="O38" s="12">
        <v>603.66465931756852</v>
      </c>
      <c r="P38" s="12">
        <v>20.464773620501209</v>
      </c>
      <c r="Q38" s="12">
        <v>726.83519022704309</v>
      </c>
      <c r="R38" s="12">
        <v>149.14866684731709</v>
      </c>
      <c r="S38" s="12">
        <v>1.7923237781702239</v>
      </c>
      <c r="T38" s="12">
        <v>20.035015999999999</v>
      </c>
      <c r="U38" s="12"/>
      <c r="V38" s="12">
        <v>1.048164872940456</v>
      </c>
      <c r="W38" s="12">
        <v>1.048164872940456</v>
      </c>
      <c r="X38" s="12">
        <v>0.99825225994329136</v>
      </c>
      <c r="Y38" s="12">
        <v>4.7619047619047619</v>
      </c>
      <c r="Z38" s="12">
        <v>0</v>
      </c>
      <c r="AA38" s="12">
        <v>0</v>
      </c>
      <c r="AB38" s="11">
        <v>1</v>
      </c>
      <c r="AC38" s="12">
        <v>4.7619047619047619</v>
      </c>
      <c r="AD38" s="11">
        <v>2</v>
      </c>
      <c r="AE38" s="13" t="b">
        <v>0</v>
      </c>
      <c r="AF38" s="10" t="s">
        <v>60</v>
      </c>
      <c r="AG38" s="10" t="s">
        <v>61</v>
      </c>
      <c r="AH38" s="10" t="s">
        <v>71</v>
      </c>
    </row>
    <row r="39" spans="1:34" ht="32.1" customHeight="1" x14ac:dyDescent="0.25">
      <c r="A39" s="10" t="s">
        <v>56</v>
      </c>
      <c r="B39" s="10" t="s">
        <v>74</v>
      </c>
      <c r="C39" s="10" t="s">
        <v>58</v>
      </c>
      <c r="D39" s="10" t="s">
        <v>70</v>
      </c>
      <c r="E39" s="10" t="s">
        <v>70</v>
      </c>
      <c r="F39" s="10" t="s">
        <v>62</v>
      </c>
      <c r="G39" s="11">
        <v>4</v>
      </c>
      <c r="H39" s="11">
        <v>1</v>
      </c>
      <c r="I39" s="11">
        <v>1</v>
      </c>
      <c r="J39" s="11">
        <v>0</v>
      </c>
      <c r="K39" s="11">
        <v>0</v>
      </c>
      <c r="L39" s="12">
        <v>63.83982687682834</v>
      </c>
      <c r="M39" s="12">
        <v>63.83982687682834</v>
      </c>
      <c r="N39" s="12">
        <v>63.83982687682834</v>
      </c>
      <c r="O39" s="12">
        <v>63.83982687682834</v>
      </c>
      <c r="P39" s="12">
        <v>63.83982687682834</v>
      </c>
      <c r="Q39" s="12">
        <v>63.83982687682834</v>
      </c>
      <c r="R39" s="12"/>
      <c r="S39" s="12"/>
      <c r="T39" s="12">
        <v>20.035015999999999</v>
      </c>
      <c r="U39" s="12"/>
      <c r="V39" s="12">
        <v>4.9912612997164499E-2</v>
      </c>
      <c r="W39" s="12">
        <v>4.9912612997164499E-2</v>
      </c>
      <c r="X39" s="12">
        <v>4.9912612997164499E-2</v>
      </c>
      <c r="Y39" s="12">
        <v>0</v>
      </c>
      <c r="Z39" s="12"/>
      <c r="AA39" s="12"/>
      <c r="AB39" s="11">
        <v>0</v>
      </c>
      <c r="AC39" s="12">
        <v>0</v>
      </c>
      <c r="AD39" s="11">
        <v>0</v>
      </c>
      <c r="AE39" s="13" t="b">
        <v>0</v>
      </c>
      <c r="AF39" s="10" t="s">
        <v>60</v>
      </c>
      <c r="AG39" s="10" t="s">
        <v>61</v>
      </c>
      <c r="AH39" s="10" t="s">
        <v>71</v>
      </c>
    </row>
    <row r="40" spans="1:34" ht="32.1" customHeight="1" x14ac:dyDescent="0.25">
      <c r="A40" s="10" t="s">
        <v>56</v>
      </c>
      <c r="B40" s="10" t="s">
        <v>74</v>
      </c>
      <c r="C40" s="10" t="s">
        <v>58</v>
      </c>
      <c r="D40" s="10" t="s">
        <v>70</v>
      </c>
      <c r="E40" s="10" t="s">
        <v>70</v>
      </c>
      <c r="F40" s="10" t="s">
        <v>63</v>
      </c>
      <c r="G40" s="11">
        <v>4</v>
      </c>
      <c r="H40" s="11">
        <v>14</v>
      </c>
      <c r="I40" s="11">
        <v>14</v>
      </c>
      <c r="J40" s="11">
        <v>0</v>
      </c>
      <c r="K40" s="11">
        <v>0</v>
      </c>
      <c r="L40" s="12">
        <v>94.288554968089755</v>
      </c>
      <c r="M40" s="12">
        <v>40.093619546875651</v>
      </c>
      <c r="N40" s="12">
        <v>326.5309647712491</v>
      </c>
      <c r="O40" s="12">
        <v>646.77434513588389</v>
      </c>
      <c r="P40" s="12">
        <v>20.464773620501209</v>
      </c>
      <c r="Q40" s="12">
        <v>726.83519022704309</v>
      </c>
      <c r="R40" s="12">
        <v>183.3674264875132</v>
      </c>
      <c r="S40" s="12">
        <v>1.9447474462788239</v>
      </c>
      <c r="T40" s="12">
        <v>20.035015999999999</v>
      </c>
      <c r="U40" s="12"/>
      <c r="V40" s="12">
        <v>0.6987765819603039</v>
      </c>
      <c r="W40" s="12">
        <v>0.6987765819603039</v>
      </c>
      <c r="X40" s="12">
        <v>0.6987765819603039</v>
      </c>
      <c r="Y40" s="12">
        <v>0</v>
      </c>
      <c r="Z40" s="12"/>
      <c r="AA40" s="12"/>
      <c r="AB40" s="11">
        <v>1</v>
      </c>
      <c r="AC40" s="12">
        <v>7.1428571428571432</v>
      </c>
      <c r="AD40" s="11">
        <v>1</v>
      </c>
      <c r="AE40" s="13" t="b">
        <v>0</v>
      </c>
      <c r="AF40" s="10" t="s">
        <v>60</v>
      </c>
      <c r="AG40" s="10" t="s">
        <v>61</v>
      </c>
      <c r="AH40" s="10" t="s">
        <v>71</v>
      </c>
    </row>
    <row r="41" spans="1:34" ht="32.1" customHeight="1" x14ac:dyDescent="0.25">
      <c r="A41" s="10" t="s">
        <v>56</v>
      </c>
      <c r="B41" s="10" t="s">
        <v>74</v>
      </c>
      <c r="C41" s="10" t="s">
        <v>58</v>
      </c>
      <c r="D41" s="10" t="s">
        <v>70</v>
      </c>
      <c r="E41" s="10" t="s">
        <v>70</v>
      </c>
      <c r="F41" s="10" t="s">
        <v>64</v>
      </c>
      <c r="G41" s="11">
        <v>4</v>
      </c>
      <c r="H41" s="11">
        <v>6</v>
      </c>
      <c r="I41" s="11">
        <v>5</v>
      </c>
      <c r="J41" s="11">
        <v>1</v>
      </c>
      <c r="K41" s="11">
        <v>0</v>
      </c>
      <c r="L41" s="12">
        <v>60.606766936271669</v>
      </c>
      <c r="M41" s="12">
        <v>57.858431540648319</v>
      </c>
      <c r="N41" s="12">
        <v>89.791863475298385</v>
      </c>
      <c r="O41" s="12">
        <v>92.339750133572437</v>
      </c>
      <c r="P41" s="12">
        <v>33.016180241876377</v>
      </c>
      <c r="Q41" s="12">
        <v>92.976721798140957</v>
      </c>
      <c r="R41" s="12">
        <v>22.980883226960621</v>
      </c>
      <c r="S41" s="12">
        <v>0.37918015410927858</v>
      </c>
      <c r="T41" s="12">
        <v>20.035015999999999</v>
      </c>
      <c r="U41" s="12"/>
      <c r="V41" s="12">
        <v>0.29947567798298741</v>
      </c>
      <c r="W41" s="12">
        <v>0.29947567798298741</v>
      </c>
      <c r="X41" s="12">
        <v>0.24956306498582281</v>
      </c>
      <c r="Y41" s="12">
        <v>16.666666666666671</v>
      </c>
      <c r="Z41" s="12"/>
      <c r="AA41" s="12"/>
      <c r="AB41" s="11">
        <v>0</v>
      </c>
      <c r="AC41" s="12">
        <v>0</v>
      </c>
      <c r="AD41" s="11">
        <v>1</v>
      </c>
      <c r="AE41" s="13" t="b">
        <v>0</v>
      </c>
      <c r="AF41" s="10" t="s">
        <v>60</v>
      </c>
      <c r="AG41" s="10" t="s">
        <v>61</v>
      </c>
      <c r="AH41" s="10" t="s">
        <v>71</v>
      </c>
    </row>
    <row r="42" spans="1:34" ht="32.1" customHeight="1" x14ac:dyDescent="0.25">
      <c r="A42" s="10" t="s">
        <v>56</v>
      </c>
      <c r="B42" s="10" t="s">
        <v>75</v>
      </c>
      <c r="C42" s="10" t="s">
        <v>58</v>
      </c>
      <c r="D42" s="10" t="s">
        <v>70</v>
      </c>
      <c r="E42" s="10" t="s">
        <v>70</v>
      </c>
      <c r="F42" s="10" t="s">
        <v>5</v>
      </c>
      <c r="G42" s="11">
        <v>5</v>
      </c>
      <c r="H42" s="11">
        <v>21</v>
      </c>
      <c r="I42" s="11">
        <v>21</v>
      </c>
      <c r="J42" s="11">
        <v>0</v>
      </c>
      <c r="K42" s="11">
        <v>0</v>
      </c>
      <c r="L42" s="12">
        <v>114.7836529089996</v>
      </c>
      <c r="M42" s="12">
        <v>42.545612600352563</v>
      </c>
      <c r="N42" s="12">
        <v>104.69757543811269</v>
      </c>
      <c r="O42" s="12">
        <v>1197.1250388530791</v>
      </c>
      <c r="P42" s="12">
        <v>24.42767040926066</v>
      </c>
      <c r="Q42" s="12">
        <v>1470.2319047068199</v>
      </c>
      <c r="R42" s="12">
        <v>311.2171367152057</v>
      </c>
      <c r="S42" s="12">
        <v>2.7113367524723961</v>
      </c>
      <c r="T42" s="12">
        <v>20.053644999999999</v>
      </c>
      <c r="U42" s="12"/>
      <c r="V42" s="12">
        <v>1.0471911714802971</v>
      </c>
      <c r="W42" s="12">
        <v>1.0471911714802971</v>
      </c>
      <c r="X42" s="12">
        <v>1.0471911714802971</v>
      </c>
      <c r="Y42" s="12">
        <v>0</v>
      </c>
      <c r="Z42" s="12">
        <v>0</v>
      </c>
      <c r="AA42" s="12">
        <v>0</v>
      </c>
      <c r="AB42" s="11">
        <v>1</v>
      </c>
      <c r="AC42" s="12">
        <v>4.7619047619047619</v>
      </c>
      <c r="AD42" s="11">
        <v>0</v>
      </c>
      <c r="AE42" s="13" t="b">
        <v>0</v>
      </c>
      <c r="AF42" s="10" t="s">
        <v>60</v>
      </c>
      <c r="AG42" s="10" t="s">
        <v>61</v>
      </c>
      <c r="AH42" s="10" t="s">
        <v>71</v>
      </c>
    </row>
    <row r="43" spans="1:34" ht="32.1" customHeight="1" x14ac:dyDescent="0.25">
      <c r="A43" s="10" t="s">
        <v>56</v>
      </c>
      <c r="B43" s="10" t="s">
        <v>75</v>
      </c>
      <c r="C43" s="10" t="s">
        <v>58</v>
      </c>
      <c r="D43" s="10" t="s">
        <v>70</v>
      </c>
      <c r="E43" s="10" t="s">
        <v>70</v>
      </c>
      <c r="F43" s="10" t="s">
        <v>62</v>
      </c>
      <c r="G43" s="11">
        <v>5</v>
      </c>
      <c r="H43" s="11">
        <v>2</v>
      </c>
      <c r="I43" s="11">
        <v>2</v>
      </c>
      <c r="J43" s="11">
        <v>0</v>
      </c>
      <c r="K43" s="11">
        <v>0</v>
      </c>
      <c r="L43" s="12">
        <v>92.196162369744741</v>
      </c>
      <c r="M43" s="12">
        <v>92.196162369744741</v>
      </c>
      <c r="N43" s="12">
        <v>103.4474341312759</v>
      </c>
      <c r="O43" s="12">
        <v>104.4475471767453</v>
      </c>
      <c r="P43" s="12">
        <v>79.694749301376802</v>
      </c>
      <c r="Q43" s="12">
        <v>104.69757543811269</v>
      </c>
      <c r="R43" s="12">
        <v>17.67966791011419</v>
      </c>
      <c r="S43" s="12">
        <v>0.19176142971343429</v>
      </c>
      <c r="T43" s="12">
        <v>20.053644999999999</v>
      </c>
      <c r="U43" s="12"/>
      <c r="V43" s="12">
        <v>9.9732492521933003E-2</v>
      </c>
      <c r="W43" s="12">
        <v>9.9732492521933003E-2</v>
      </c>
      <c r="X43" s="12">
        <v>9.9732492521933003E-2</v>
      </c>
      <c r="Y43" s="12">
        <v>0</v>
      </c>
      <c r="Z43" s="12"/>
      <c r="AA43" s="12"/>
      <c r="AB43" s="11">
        <v>0</v>
      </c>
      <c r="AC43" s="12">
        <v>0</v>
      </c>
      <c r="AD43" s="11">
        <v>0</v>
      </c>
      <c r="AE43" s="13" t="b">
        <v>0</v>
      </c>
      <c r="AF43" s="10" t="s">
        <v>60</v>
      </c>
      <c r="AG43" s="10" t="s">
        <v>61</v>
      </c>
      <c r="AH43" s="10" t="s">
        <v>71</v>
      </c>
    </row>
    <row r="44" spans="1:34" ht="32.1" customHeight="1" x14ac:dyDescent="0.25">
      <c r="A44" s="10" t="s">
        <v>56</v>
      </c>
      <c r="B44" s="10" t="s">
        <v>75</v>
      </c>
      <c r="C44" s="10" t="s">
        <v>58</v>
      </c>
      <c r="D44" s="10" t="s">
        <v>70</v>
      </c>
      <c r="E44" s="10" t="s">
        <v>70</v>
      </c>
      <c r="F44" s="10" t="s">
        <v>63</v>
      </c>
      <c r="G44" s="11">
        <v>5</v>
      </c>
      <c r="H44" s="11">
        <v>11</v>
      </c>
      <c r="I44" s="11">
        <v>11</v>
      </c>
      <c r="J44" s="11">
        <v>0</v>
      </c>
      <c r="K44" s="11">
        <v>0</v>
      </c>
      <c r="L44" s="12">
        <v>37.922397457044028</v>
      </c>
      <c r="M44" s="12">
        <v>32.623380885876429</v>
      </c>
      <c r="N44" s="12">
        <v>52.220622395597871</v>
      </c>
      <c r="O44" s="12">
        <v>53.03940681935476</v>
      </c>
      <c r="P44" s="12">
        <v>24.42767040926066</v>
      </c>
      <c r="Q44" s="12">
        <v>53.24410292529398</v>
      </c>
      <c r="R44" s="12">
        <v>10.69015108001312</v>
      </c>
      <c r="S44" s="12">
        <v>0.28189544429837837</v>
      </c>
      <c r="T44" s="12">
        <v>20.053644999999999</v>
      </c>
      <c r="U44" s="12"/>
      <c r="V44" s="12">
        <v>0.54852870887063176</v>
      </c>
      <c r="W44" s="12">
        <v>0.54852870887063176</v>
      </c>
      <c r="X44" s="12">
        <v>0.54852870887063176</v>
      </c>
      <c r="Y44" s="12">
        <v>0</v>
      </c>
      <c r="Z44" s="12"/>
      <c r="AA44" s="12"/>
      <c r="AB44" s="11">
        <v>0</v>
      </c>
      <c r="AC44" s="12">
        <v>0</v>
      </c>
      <c r="AD44" s="11">
        <v>0</v>
      </c>
      <c r="AE44" s="13" t="b">
        <v>0</v>
      </c>
      <c r="AF44" s="10" t="s">
        <v>60</v>
      </c>
      <c r="AG44" s="10" t="s">
        <v>61</v>
      </c>
      <c r="AH44" s="10" t="s">
        <v>71</v>
      </c>
    </row>
    <row r="45" spans="1:34" ht="32.1" customHeight="1" x14ac:dyDescent="0.25">
      <c r="A45" s="10" t="s">
        <v>56</v>
      </c>
      <c r="B45" s="10" t="s">
        <v>75</v>
      </c>
      <c r="C45" s="10" t="s">
        <v>58</v>
      </c>
      <c r="D45" s="10" t="s">
        <v>70</v>
      </c>
      <c r="E45" s="10" t="s">
        <v>70</v>
      </c>
      <c r="F45" s="10" t="s">
        <v>64</v>
      </c>
      <c r="G45" s="11">
        <v>5</v>
      </c>
      <c r="H45" s="11">
        <v>8</v>
      </c>
      <c r="I45" s="11">
        <v>8</v>
      </c>
      <c r="J45" s="11">
        <v>0</v>
      </c>
      <c r="K45" s="11">
        <v>0</v>
      </c>
      <c r="L45" s="12">
        <v>226.1147517902522</v>
      </c>
      <c r="M45" s="12">
        <v>44.550979225114183</v>
      </c>
      <c r="N45" s="12">
        <v>984.6466573948012</v>
      </c>
      <c r="O45" s="12">
        <v>1373.114855244416</v>
      </c>
      <c r="P45" s="12">
        <v>35.338746733340628</v>
      </c>
      <c r="Q45" s="12">
        <v>1470.2319047068199</v>
      </c>
      <c r="R45" s="12">
        <v>502.92079512397743</v>
      </c>
      <c r="S45" s="12">
        <v>2.224183920518795</v>
      </c>
      <c r="T45" s="12">
        <v>20.053644999999999</v>
      </c>
      <c r="U45" s="12"/>
      <c r="V45" s="12">
        <v>0.39892997008773218</v>
      </c>
      <c r="W45" s="12">
        <v>0.39892997008773218</v>
      </c>
      <c r="X45" s="12">
        <v>0.39892997008773218</v>
      </c>
      <c r="Y45" s="12">
        <v>0</v>
      </c>
      <c r="Z45" s="12"/>
      <c r="AA45" s="12"/>
      <c r="AB45" s="11">
        <v>1</v>
      </c>
      <c r="AC45" s="12">
        <v>12.5</v>
      </c>
      <c r="AD45" s="11">
        <v>0</v>
      </c>
      <c r="AE45" s="13" t="b">
        <v>0</v>
      </c>
      <c r="AF45" s="10" t="s">
        <v>60</v>
      </c>
      <c r="AG45" s="10" t="s">
        <v>61</v>
      </c>
      <c r="AH45" s="10" t="s">
        <v>71</v>
      </c>
    </row>
    <row r="46" spans="1:34" ht="32.1" customHeight="1" x14ac:dyDescent="0.25">
      <c r="A46" s="10" t="s">
        <v>56</v>
      </c>
      <c r="B46" s="10" t="s">
        <v>76</v>
      </c>
      <c r="C46" s="10" t="s">
        <v>58</v>
      </c>
      <c r="D46" s="10" t="s">
        <v>3</v>
      </c>
      <c r="E46" s="10" t="s">
        <v>77</v>
      </c>
      <c r="F46" s="10" t="s">
        <v>5</v>
      </c>
      <c r="G46" s="11">
        <v>1</v>
      </c>
      <c r="H46" s="11">
        <v>900</v>
      </c>
      <c r="I46" s="11">
        <v>884</v>
      </c>
      <c r="J46" s="11">
        <v>16</v>
      </c>
      <c r="K46" s="11">
        <v>0</v>
      </c>
      <c r="L46" s="12">
        <v>50.797539204988851</v>
      </c>
      <c r="M46" s="12">
        <v>38.67977607572486</v>
      </c>
      <c r="N46" s="12">
        <v>125.84310801381319</v>
      </c>
      <c r="O46" s="12">
        <v>203.4746443543977</v>
      </c>
      <c r="P46" s="12">
        <v>10.81340904100535</v>
      </c>
      <c r="Q46" s="12">
        <v>1213.6129955810479</v>
      </c>
      <c r="R46" s="12">
        <v>56.6795277393635</v>
      </c>
      <c r="S46" s="12">
        <v>1.1157927849740601</v>
      </c>
      <c r="T46" s="12">
        <v>18</v>
      </c>
      <c r="U46" s="12">
        <v>50</v>
      </c>
      <c r="V46" s="12">
        <v>49.944444444444443</v>
      </c>
      <c r="W46" s="12">
        <v>50</v>
      </c>
      <c r="X46" s="12">
        <v>49.111111111111121</v>
      </c>
      <c r="Y46" s="12">
        <v>1.7777777777777779</v>
      </c>
      <c r="Z46" s="12">
        <v>0</v>
      </c>
      <c r="AA46" s="12">
        <v>0</v>
      </c>
      <c r="AB46" s="11">
        <v>0</v>
      </c>
      <c r="AC46" s="12">
        <v>0</v>
      </c>
      <c r="AD46" s="11">
        <v>57</v>
      </c>
      <c r="AE46" s="13" t="b">
        <v>1</v>
      </c>
      <c r="AF46" s="10" t="s">
        <v>60</v>
      </c>
      <c r="AG46" s="10" t="s">
        <v>61</v>
      </c>
      <c r="AH46" s="12"/>
    </row>
    <row r="47" spans="1:34" ht="32.1" customHeight="1" x14ac:dyDescent="0.25">
      <c r="A47" s="10" t="s">
        <v>56</v>
      </c>
      <c r="B47" s="10" t="s">
        <v>76</v>
      </c>
      <c r="C47" s="10" t="s">
        <v>58</v>
      </c>
      <c r="D47" s="10" t="s">
        <v>3</v>
      </c>
      <c r="E47" s="10" t="s">
        <v>77</v>
      </c>
      <c r="F47" s="10" t="s">
        <v>62</v>
      </c>
      <c r="G47" s="11">
        <v>1</v>
      </c>
      <c r="H47" s="11">
        <v>86</v>
      </c>
      <c r="I47" s="11">
        <v>84</v>
      </c>
      <c r="J47" s="11">
        <v>2</v>
      </c>
      <c r="K47" s="11">
        <v>0</v>
      </c>
      <c r="L47" s="12">
        <v>125.02013476865289</v>
      </c>
      <c r="M47" s="12">
        <v>122.1757579877967</v>
      </c>
      <c r="N47" s="12">
        <v>207.34932147898729</v>
      </c>
      <c r="O47" s="12">
        <v>241.1272249729216</v>
      </c>
      <c r="P47" s="12">
        <v>50.189663306697867</v>
      </c>
      <c r="Q47" s="12">
        <v>247.75923310815901</v>
      </c>
      <c r="R47" s="12">
        <v>43.840891681242127</v>
      </c>
      <c r="S47" s="12">
        <v>0.35067064807095888</v>
      </c>
      <c r="T47" s="12">
        <v>18</v>
      </c>
      <c r="U47" s="12">
        <v>5</v>
      </c>
      <c r="V47" s="12">
        <v>4.7777777777777777</v>
      </c>
      <c r="W47" s="12">
        <v>4.7777777777777777</v>
      </c>
      <c r="X47" s="12">
        <v>4.666666666666667</v>
      </c>
      <c r="Y47" s="12">
        <v>2.3255813953488369</v>
      </c>
      <c r="Z47" s="12"/>
      <c r="AA47" s="12"/>
      <c r="AB47" s="11">
        <v>0</v>
      </c>
      <c r="AC47" s="12">
        <v>0</v>
      </c>
      <c r="AD47" s="11">
        <v>2</v>
      </c>
      <c r="AE47" s="13" t="b">
        <v>1</v>
      </c>
      <c r="AF47" s="10" t="s">
        <v>60</v>
      </c>
      <c r="AG47" s="10" t="s">
        <v>61</v>
      </c>
      <c r="AH47" s="12"/>
    </row>
    <row r="48" spans="1:34" ht="32.1" customHeight="1" x14ac:dyDescent="0.25">
      <c r="A48" s="10" t="s">
        <v>56</v>
      </c>
      <c r="B48" s="10" t="s">
        <v>76</v>
      </c>
      <c r="C48" s="10" t="s">
        <v>58</v>
      </c>
      <c r="D48" s="10" t="s">
        <v>3</v>
      </c>
      <c r="E48" s="10" t="s">
        <v>77</v>
      </c>
      <c r="F48" s="10" t="s">
        <v>63</v>
      </c>
      <c r="G48" s="11">
        <v>1</v>
      </c>
      <c r="H48" s="11">
        <v>652</v>
      </c>
      <c r="I48" s="11">
        <v>640</v>
      </c>
      <c r="J48" s="11">
        <v>12</v>
      </c>
      <c r="K48" s="11">
        <v>0</v>
      </c>
      <c r="L48" s="12">
        <v>39.636798469215783</v>
      </c>
      <c r="M48" s="12">
        <v>33.212883015991821</v>
      </c>
      <c r="N48" s="12">
        <v>62.732231550652948</v>
      </c>
      <c r="O48" s="12">
        <v>94.861393246875835</v>
      </c>
      <c r="P48" s="12">
        <v>10.81340904100535</v>
      </c>
      <c r="Q48" s="12">
        <v>1213.6129955810479</v>
      </c>
      <c r="R48" s="12">
        <v>56.693548224350778</v>
      </c>
      <c r="S48" s="12">
        <v>1.4303261215302809</v>
      </c>
      <c r="T48" s="12">
        <v>18</v>
      </c>
      <c r="U48" s="12">
        <v>35</v>
      </c>
      <c r="V48" s="12">
        <v>36.222222222222221</v>
      </c>
      <c r="W48" s="12">
        <v>36.222222222222221</v>
      </c>
      <c r="X48" s="12">
        <v>35.555555555555557</v>
      </c>
      <c r="Y48" s="12">
        <v>1.8404907975460121</v>
      </c>
      <c r="Z48" s="12"/>
      <c r="AA48" s="12"/>
      <c r="AB48" s="11">
        <v>0</v>
      </c>
      <c r="AC48" s="12">
        <v>0</v>
      </c>
      <c r="AD48" s="11">
        <v>46</v>
      </c>
      <c r="AE48" s="13" t="b">
        <v>1</v>
      </c>
      <c r="AF48" s="10" t="s">
        <v>60</v>
      </c>
      <c r="AG48" s="10" t="s">
        <v>61</v>
      </c>
      <c r="AH48" s="12"/>
    </row>
    <row r="49" spans="1:34" ht="32.1" customHeight="1" x14ac:dyDescent="0.25">
      <c r="A49" s="10" t="s">
        <v>56</v>
      </c>
      <c r="B49" s="10" t="s">
        <v>76</v>
      </c>
      <c r="C49" s="10" t="s">
        <v>58</v>
      </c>
      <c r="D49" s="10" t="s">
        <v>3</v>
      </c>
      <c r="E49" s="10" t="s">
        <v>77</v>
      </c>
      <c r="F49" s="10" t="s">
        <v>64</v>
      </c>
      <c r="G49" s="11">
        <v>1</v>
      </c>
      <c r="H49" s="11">
        <v>162</v>
      </c>
      <c r="I49" s="11">
        <v>160</v>
      </c>
      <c r="J49" s="11">
        <v>2</v>
      </c>
      <c r="K49" s="11">
        <v>0</v>
      </c>
      <c r="L49" s="12">
        <v>56.313957360846437</v>
      </c>
      <c r="M49" s="12">
        <v>52.544828927085597</v>
      </c>
      <c r="N49" s="12">
        <v>92.226099570338164</v>
      </c>
      <c r="O49" s="12">
        <v>119.307391889534</v>
      </c>
      <c r="P49" s="12">
        <v>18.33485786368265</v>
      </c>
      <c r="Q49" s="12">
        <v>156.86884364895209</v>
      </c>
      <c r="R49" s="12">
        <v>21.204782826999729</v>
      </c>
      <c r="S49" s="12">
        <v>0.37654577693988939</v>
      </c>
      <c r="T49" s="12">
        <v>18</v>
      </c>
      <c r="U49" s="12">
        <v>10</v>
      </c>
      <c r="V49" s="12">
        <v>8.9444444444444446</v>
      </c>
      <c r="W49" s="12">
        <v>9</v>
      </c>
      <c r="X49" s="12">
        <v>8.8888888888888893</v>
      </c>
      <c r="Y49" s="12">
        <v>1.2345679012345681</v>
      </c>
      <c r="Z49" s="12"/>
      <c r="AA49" s="12"/>
      <c r="AB49" s="11">
        <v>0</v>
      </c>
      <c r="AC49" s="12">
        <v>0</v>
      </c>
      <c r="AD49" s="11">
        <v>9</v>
      </c>
      <c r="AE49" s="13" t="b">
        <v>1</v>
      </c>
      <c r="AF49" s="10" t="s">
        <v>60</v>
      </c>
      <c r="AG49" s="10" t="s">
        <v>61</v>
      </c>
      <c r="AH49" s="12"/>
    </row>
    <row r="50" spans="1:34" ht="32.1" customHeight="1" x14ac:dyDescent="0.25">
      <c r="A50" s="10" t="s">
        <v>56</v>
      </c>
      <c r="B50" s="10" t="s">
        <v>78</v>
      </c>
      <c r="C50" s="10" t="s">
        <v>58</v>
      </c>
      <c r="D50" s="10" t="s">
        <v>3</v>
      </c>
      <c r="E50" s="10" t="s">
        <v>77</v>
      </c>
      <c r="F50" s="10" t="s">
        <v>5</v>
      </c>
      <c r="G50" s="11">
        <v>2</v>
      </c>
      <c r="H50" s="11">
        <v>900</v>
      </c>
      <c r="I50" s="11">
        <v>881</v>
      </c>
      <c r="J50" s="11">
        <v>19</v>
      </c>
      <c r="K50" s="11">
        <v>0</v>
      </c>
      <c r="L50" s="12">
        <v>52.333643441955367</v>
      </c>
      <c r="M50" s="12">
        <v>42.783019996965088</v>
      </c>
      <c r="N50" s="12">
        <v>121.3202614994813</v>
      </c>
      <c r="O50" s="12">
        <v>164.9509087278548</v>
      </c>
      <c r="P50" s="12">
        <v>8.776700798848637</v>
      </c>
      <c r="Q50" s="12">
        <v>730.52694296645973</v>
      </c>
      <c r="R50" s="12">
        <v>39.041341670985943</v>
      </c>
      <c r="S50" s="12">
        <v>0.74600847759219602</v>
      </c>
      <c r="T50" s="12">
        <v>18</v>
      </c>
      <c r="U50" s="12">
        <v>50</v>
      </c>
      <c r="V50" s="12">
        <v>49.833333333333343</v>
      </c>
      <c r="W50" s="12">
        <v>50</v>
      </c>
      <c r="X50" s="12">
        <v>48.944444444444443</v>
      </c>
      <c r="Y50" s="12">
        <v>2.1111111111111112</v>
      </c>
      <c r="Z50" s="12">
        <v>0</v>
      </c>
      <c r="AA50" s="12">
        <v>0</v>
      </c>
      <c r="AB50" s="11">
        <v>0</v>
      </c>
      <c r="AC50" s="12">
        <v>0</v>
      </c>
      <c r="AD50" s="11">
        <v>61</v>
      </c>
      <c r="AE50" s="13" t="b">
        <v>1</v>
      </c>
      <c r="AF50" s="10" t="s">
        <v>60</v>
      </c>
      <c r="AG50" s="10" t="s">
        <v>61</v>
      </c>
      <c r="AH50" s="12"/>
    </row>
    <row r="51" spans="1:34" ht="32.1" customHeight="1" x14ac:dyDescent="0.25">
      <c r="A51" s="10" t="s">
        <v>56</v>
      </c>
      <c r="B51" s="10" t="s">
        <v>78</v>
      </c>
      <c r="C51" s="10" t="s">
        <v>58</v>
      </c>
      <c r="D51" s="10" t="s">
        <v>3</v>
      </c>
      <c r="E51" s="10" t="s">
        <v>77</v>
      </c>
      <c r="F51" s="10" t="s">
        <v>62</v>
      </c>
      <c r="G51" s="11">
        <v>2</v>
      </c>
      <c r="H51" s="11">
        <v>88</v>
      </c>
      <c r="I51" s="11">
        <v>85</v>
      </c>
      <c r="J51" s="11">
        <v>3</v>
      </c>
      <c r="K51" s="11">
        <v>0</v>
      </c>
      <c r="L51" s="12">
        <v>122.1540072391937</v>
      </c>
      <c r="M51" s="12">
        <v>117.2720191714245</v>
      </c>
      <c r="N51" s="12">
        <v>185.5163299754152</v>
      </c>
      <c r="O51" s="12">
        <v>222.27580434278281</v>
      </c>
      <c r="P51" s="12">
        <v>55.733650824648542</v>
      </c>
      <c r="Q51" s="12">
        <v>303.34957224810552</v>
      </c>
      <c r="R51" s="12">
        <v>36.684586461333957</v>
      </c>
      <c r="S51" s="12">
        <v>0.3003142286564589</v>
      </c>
      <c r="T51" s="12">
        <v>18</v>
      </c>
      <c r="U51" s="12">
        <v>5</v>
      </c>
      <c r="V51" s="12">
        <v>4.7777777777777777</v>
      </c>
      <c r="W51" s="12">
        <v>4.8888888888888893</v>
      </c>
      <c r="X51" s="12">
        <v>4.7222222222222223</v>
      </c>
      <c r="Y51" s="12">
        <v>3.4090909090909092</v>
      </c>
      <c r="Z51" s="12"/>
      <c r="AA51" s="12"/>
      <c r="AB51" s="11">
        <v>0</v>
      </c>
      <c r="AC51" s="12">
        <v>0</v>
      </c>
      <c r="AD51" s="11">
        <v>4</v>
      </c>
      <c r="AE51" s="13" t="b">
        <v>1</v>
      </c>
      <c r="AF51" s="10" t="s">
        <v>60</v>
      </c>
      <c r="AG51" s="10" t="s">
        <v>61</v>
      </c>
      <c r="AH51" s="12"/>
    </row>
    <row r="52" spans="1:34" ht="32.1" customHeight="1" x14ac:dyDescent="0.25">
      <c r="A52" s="10" t="s">
        <v>56</v>
      </c>
      <c r="B52" s="10" t="s">
        <v>78</v>
      </c>
      <c r="C52" s="10" t="s">
        <v>58</v>
      </c>
      <c r="D52" s="10" t="s">
        <v>3</v>
      </c>
      <c r="E52" s="10" t="s">
        <v>77</v>
      </c>
      <c r="F52" s="10" t="s">
        <v>63</v>
      </c>
      <c r="G52" s="11">
        <v>2</v>
      </c>
      <c r="H52" s="11">
        <v>641</v>
      </c>
      <c r="I52" s="11">
        <v>630</v>
      </c>
      <c r="J52" s="11">
        <v>11</v>
      </c>
      <c r="K52" s="11">
        <v>0</v>
      </c>
      <c r="L52" s="12">
        <v>40.576894702397126</v>
      </c>
      <c r="M52" s="12">
        <v>36.941830202327417</v>
      </c>
      <c r="N52" s="12">
        <v>70.458670500099757</v>
      </c>
      <c r="O52" s="12">
        <v>94.561345913375376</v>
      </c>
      <c r="P52" s="12">
        <v>8.776700798848637</v>
      </c>
      <c r="Q52" s="12">
        <v>730.52694296645973</v>
      </c>
      <c r="R52" s="12">
        <v>31.644029712364489</v>
      </c>
      <c r="S52" s="12">
        <v>0.77985341028314514</v>
      </c>
      <c r="T52" s="12">
        <v>18</v>
      </c>
      <c r="U52" s="12">
        <v>35</v>
      </c>
      <c r="V52" s="12">
        <v>35.611111111111107</v>
      </c>
      <c r="W52" s="12">
        <v>35.611111111111107</v>
      </c>
      <c r="X52" s="12">
        <v>35</v>
      </c>
      <c r="Y52" s="12">
        <v>1.7160686427457099</v>
      </c>
      <c r="Z52" s="12"/>
      <c r="AA52" s="12"/>
      <c r="AB52" s="11">
        <v>0</v>
      </c>
      <c r="AC52" s="12">
        <v>0</v>
      </c>
      <c r="AD52" s="11">
        <v>41</v>
      </c>
      <c r="AE52" s="13" t="b">
        <v>1</v>
      </c>
      <c r="AF52" s="10" t="s">
        <v>60</v>
      </c>
      <c r="AG52" s="10" t="s">
        <v>61</v>
      </c>
      <c r="AH52" s="12"/>
    </row>
    <row r="53" spans="1:34" ht="32.1" customHeight="1" x14ac:dyDescent="0.25">
      <c r="A53" s="10" t="s">
        <v>56</v>
      </c>
      <c r="B53" s="10" t="s">
        <v>78</v>
      </c>
      <c r="C53" s="10" t="s">
        <v>58</v>
      </c>
      <c r="D53" s="10" t="s">
        <v>3</v>
      </c>
      <c r="E53" s="10" t="s">
        <v>77</v>
      </c>
      <c r="F53" s="10" t="s">
        <v>64</v>
      </c>
      <c r="G53" s="11">
        <v>2</v>
      </c>
      <c r="H53" s="11">
        <v>171</v>
      </c>
      <c r="I53" s="11">
        <v>166</v>
      </c>
      <c r="J53" s="11">
        <v>5</v>
      </c>
      <c r="K53" s="11">
        <v>0</v>
      </c>
      <c r="L53" s="12">
        <v>60.473315534936987</v>
      </c>
      <c r="M53" s="12">
        <v>57.169211609456681</v>
      </c>
      <c r="N53" s="12">
        <v>100.04003391191181</v>
      </c>
      <c r="O53" s="12">
        <v>135.02825588047671</v>
      </c>
      <c r="P53" s="12">
        <v>19.832542350622319</v>
      </c>
      <c r="Q53" s="12">
        <v>151.4795003942462</v>
      </c>
      <c r="R53" s="12">
        <v>22.151745115735562</v>
      </c>
      <c r="S53" s="12">
        <v>0.36630611237013999</v>
      </c>
      <c r="T53" s="12">
        <v>18</v>
      </c>
      <c r="U53" s="12">
        <v>10</v>
      </c>
      <c r="V53" s="12">
        <v>9.4444444444444446</v>
      </c>
      <c r="W53" s="12">
        <v>9.5</v>
      </c>
      <c r="X53" s="12">
        <v>9.2222222222222197</v>
      </c>
      <c r="Y53" s="12">
        <v>2.923976608187135</v>
      </c>
      <c r="Z53" s="12"/>
      <c r="AA53" s="12"/>
      <c r="AB53" s="11">
        <v>0</v>
      </c>
      <c r="AC53" s="12">
        <v>0</v>
      </c>
      <c r="AD53" s="11">
        <v>16</v>
      </c>
      <c r="AE53" s="13" t="b">
        <v>1</v>
      </c>
      <c r="AF53" s="10" t="s">
        <v>60</v>
      </c>
      <c r="AG53" s="10" t="s">
        <v>61</v>
      </c>
      <c r="AH53" s="12"/>
    </row>
    <row r="54" spans="1:34" ht="32.1" customHeight="1" x14ac:dyDescent="0.25">
      <c r="A54" s="10" t="s">
        <v>56</v>
      </c>
      <c r="B54" s="10" t="s">
        <v>79</v>
      </c>
      <c r="C54" s="10" t="s">
        <v>58</v>
      </c>
      <c r="D54" s="10" t="s">
        <v>3</v>
      </c>
      <c r="E54" s="10" t="s">
        <v>77</v>
      </c>
      <c r="F54" s="10" t="s">
        <v>5</v>
      </c>
      <c r="G54" s="11">
        <v>3</v>
      </c>
      <c r="H54" s="11">
        <v>900</v>
      </c>
      <c r="I54" s="11">
        <v>890</v>
      </c>
      <c r="J54" s="11">
        <v>10</v>
      </c>
      <c r="K54" s="11">
        <v>0</v>
      </c>
      <c r="L54" s="12">
        <v>59.713706638744107</v>
      </c>
      <c r="M54" s="12">
        <v>42.535371454653252</v>
      </c>
      <c r="N54" s="12">
        <v>135.2737794968387</v>
      </c>
      <c r="O54" s="12">
        <v>221.2448158462268</v>
      </c>
      <c r="P54" s="12">
        <v>12.582858857038939</v>
      </c>
      <c r="Q54" s="12">
        <v>4169.9376280456236</v>
      </c>
      <c r="R54" s="12">
        <v>146.31782074983539</v>
      </c>
      <c r="S54" s="12">
        <v>2.4503221954555392</v>
      </c>
      <c r="T54" s="12">
        <v>18</v>
      </c>
      <c r="U54" s="12">
        <v>50</v>
      </c>
      <c r="V54" s="12">
        <v>49.777777777777779</v>
      </c>
      <c r="W54" s="12">
        <v>50</v>
      </c>
      <c r="X54" s="12">
        <v>49.444444444444443</v>
      </c>
      <c r="Y54" s="12">
        <v>1.1111111111111109</v>
      </c>
      <c r="Z54" s="12">
        <v>0</v>
      </c>
      <c r="AA54" s="12">
        <v>0</v>
      </c>
      <c r="AB54" s="11">
        <v>0</v>
      </c>
      <c r="AC54" s="12">
        <v>0</v>
      </c>
      <c r="AD54" s="11">
        <v>53</v>
      </c>
      <c r="AE54" s="13" t="b">
        <v>1</v>
      </c>
      <c r="AF54" s="10" t="s">
        <v>60</v>
      </c>
      <c r="AG54" s="10" t="s">
        <v>61</v>
      </c>
      <c r="AH54" s="12"/>
    </row>
    <row r="55" spans="1:34" ht="32.1" customHeight="1" x14ac:dyDescent="0.25">
      <c r="A55" s="10" t="s">
        <v>56</v>
      </c>
      <c r="B55" s="10" t="s">
        <v>79</v>
      </c>
      <c r="C55" s="10" t="s">
        <v>58</v>
      </c>
      <c r="D55" s="10" t="s">
        <v>3</v>
      </c>
      <c r="E55" s="10" t="s">
        <v>77</v>
      </c>
      <c r="F55" s="10" t="s">
        <v>62</v>
      </c>
      <c r="G55" s="11">
        <v>3</v>
      </c>
      <c r="H55" s="11">
        <v>86</v>
      </c>
      <c r="I55" s="11">
        <v>86</v>
      </c>
      <c r="J55" s="11">
        <v>0</v>
      </c>
      <c r="K55" s="11">
        <v>0</v>
      </c>
      <c r="L55" s="12">
        <v>184.6048266941192</v>
      </c>
      <c r="M55" s="12">
        <v>128.3441225466901</v>
      </c>
      <c r="N55" s="12">
        <v>248.67625390469209</v>
      </c>
      <c r="O55" s="12">
        <v>897.80212970306502</v>
      </c>
      <c r="P55" s="12">
        <v>62.713308559589059</v>
      </c>
      <c r="Q55" s="12">
        <v>4169.9376280456236</v>
      </c>
      <c r="R55" s="12">
        <v>437.83150552630701</v>
      </c>
      <c r="S55" s="12">
        <v>2.3717229574488399</v>
      </c>
      <c r="T55" s="12">
        <v>18</v>
      </c>
      <c r="U55" s="12">
        <v>5</v>
      </c>
      <c r="V55" s="12">
        <v>4.7222222222222223</v>
      </c>
      <c r="W55" s="12">
        <v>4.7777777777777777</v>
      </c>
      <c r="X55" s="12">
        <v>4.7777777777777777</v>
      </c>
      <c r="Y55" s="12">
        <v>0</v>
      </c>
      <c r="Z55" s="12"/>
      <c r="AA55" s="12"/>
      <c r="AB55" s="11">
        <v>0</v>
      </c>
      <c r="AC55" s="12">
        <v>0</v>
      </c>
      <c r="AD55" s="11">
        <v>8</v>
      </c>
      <c r="AE55" s="13" t="b">
        <v>1</v>
      </c>
      <c r="AF55" s="10" t="s">
        <v>60</v>
      </c>
      <c r="AG55" s="10" t="s">
        <v>61</v>
      </c>
      <c r="AH55" s="12"/>
    </row>
    <row r="56" spans="1:34" ht="32.1" customHeight="1" x14ac:dyDescent="0.25">
      <c r="A56" s="10" t="s">
        <v>56</v>
      </c>
      <c r="B56" s="10" t="s">
        <v>79</v>
      </c>
      <c r="C56" s="10" t="s">
        <v>58</v>
      </c>
      <c r="D56" s="10" t="s">
        <v>3</v>
      </c>
      <c r="E56" s="10" t="s">
        <v>77</v>
      </c>
      <c r="F56" s="10" t="s">
        <v>63</v>
      </c>
      <c r="G56" s="11">
        <v>3</v>
      </c>
      <c r="H56" s="11">
        <v>639</v>
      </c>
      <c r="I56" s="11">
        <v>632</v>
      </c>
      <c r="J56" s="11">
        <v>7</v>
      </c>
      <c r="K56" s="11">
        <v>0</v>
      </c>
      <c r="L56" s="12">
        <v>41.37394187209852</v>
      </c>
      <c r="M56" s="12">
        <v>36.697580977077507</v>
      </c>
      <c r="N56" s="12">
        <v>74.331386717127089</v>
      </c>
      <c r="O56" s="12">
        <v>90.537315246243978</v>
      </c>
      <c r="P56" s="12">
        <v>12.582858857038939</v>
      </c>
      <c r="Q56" s="12">
        <v>687.03848495069758</v>
      </c>
      <c r="R56" s="12">
        <v>30.281250748998279</v>
      </c>
      <c r="S56" s="12">
        <v>0.73189184735185087</v>
      </c>
      <c r="T56" s="12">
        <v>18</v>
      </c>
      <c r="U56" s="12">
        <v>35</v>
      </c>
      <c r="V56" s="12">
        <v>35.388888888888893</v>
      </c>
      <c r="W56" s="12">
        <v>35.5</v>
      </c>
      <c r="X56" s="12">
        <v>35.111111111111107</v>
      </c>
      <c r="Y56" s="12">
        <v>1.095461658841941</v>
      </c>
      <c r="Z56" s="12"/>
      <c r="AA56" s="12"/>
      <c r="AB56" s="11">
        <v>0</v>
      </c>
      <c r="AC56" s="12">
        <v>0</v>
      </c>
      <c r="AD56" s="11">
        <v>30</v>
      </c>
      <c r="AE56" s="13" t="b">
        <v>1</v>
      </c>
      <c r="AF56" s="10" t="s">
        <v>60</v>
      </c>
      <c r="AG56" s="10" t="s">
        <v>61</v>
      </c>
      <c r="AH56" s="12"/>
    </row>
    <row r="57" spans="1:34" ht="32.1" customHeight="1" x14ac:dyDescent="0.25">
      <c r="A57" s="10" t="s">
        <v>56</v>
      </c>
      <c r="B57" s="10" t="s">
        <v>79</v>
      </c>
      <c r="C57" s="10" t="s">
        <v>58</v>
      </c>
      <c r="D57" s="10" t="s">
        <v>3</v>
      </c>
      <c r="E57" s="10" t="s">
        <v>77</v>
      </c>
      <c r="F57" s="10" t="s">
        <v>64</v>
      </c>
      <c r="G57" s="11">
        <v>3</v>
      </c>
      <c r="H57" s="11">
        <v>175</v>
      </c>
      <c r="I57" s="11">
        <v>172</v>
      </c>
      <c r="J57" s="11">
        <v>3</v>
      </c>
      <c r="K57" s="11">
        <v>0</v>
      </c>
      <c r="L57" s="12">
        <v>65.304982988025642</v>
      </c>
      <c r="M57" s="12">
        <v>56.502467898939877</v>
      </c>
      <c r="N57" s="12">
        <v>110.94948014367711</v>
      </c>
      <c r="O57" s="12">
        <v>144.31152766204789</v>
      </c>
      <c r="P57" s="12">
        <v>20.76980592662737</v>
      </c>
      <c r="Q57" s="12">
        <v>899.73998498028084</v>
      </c>
      <c r="R57" s="12">
        <v>68.042646634621676</v>
      </c>
      <c r="S57" s="12">
        <v>1.0419212060295311</v>
      </c>
      <c r="T57" s="12">
        <v>18</v>
      </c>
      <c r="U57" s="12">
        <v>10</v>
      </c>
      <c r="V57" s="12">
        <v>9.6666666666666661</v>
      </c>
      <c r="W57" s="12">
        <v>9.7222222222222197</v>
      </c>
      <c r="X57" s="12">
        <v>9.5555555555555554</v>
      </c>
      <c r="Y57" s="12">
        <v>1.714285714285714</v>
      </c>
      <c r="Z57" s="12"/>
      <c r="AA57" s="12"/>
      <c r="AB57" s="11">
        <v>0</v>
      </c>
      <c r="AC57" s="12">
        <v>0</v>
      </c>
      <c r="AD57" s="11">
        <v>15</v>
      </c>
      <c r="AE57" s="13" t="b">
        <v>1</v>
      </c>
      <c r="AF57" s="10" t="s">
        <v>60</v>
      </c>
      <c r="AG57" s="10" t="s">
        <v>61</v>
      </c>
      <c r="AH57" s="12"/>
    </row>
    <row r="58" spans="1:34" ht="32.1" customHeight="1" x14ac:dyDescent="0.25">
      <c r="A58" s="10" t="s">
        <v>56</v>
      </c>
      <c r="B58" s="10" t="s">
        <v>80</v>
      </c>
      <c r="C58" s="10" t="s">
        <v>58</v>
      </c>
      <c r="D58" s="10" t="s">
        <v>3</v>
      </c>
      <c r="E58" s="10" t="s">
        <v>77</v>
      </c>
      <c r="F58" s="10" t="s">
        <v>5</v>
      </c>
      <c r="G58" s="11">
        <v>4</v>
      </c>
      <c r="H58" s="11">
        <v>900</v>
      </c>
      <c r="I58" s="11">
        <v>887</v>
      </c>
      <c r="J58" s="11">
        <v>13</v>
      </c>
      <c r="K58" s="11">
        <v>0</v>
      </c>
      <c r="L58" s="12">
        <v>57.911605501699732</v>
      </c>
      <c r="M58" s="12">
        <v>43.332915687857799</v>
      </c>
      <c r="N58" s="12">
        <v>131.6014748922963</v>
      </c>
      <c r="O58" s="12">
        <v>257.85536084655331</v>
      </c>
      <c r="P58" s="12">
        <v>10.86154772275</v>
      </c>
      <c r="Q58" s="12">
        <v>1837.4750531197919</v>
      </c>
      <c r="R58" s="12">
        <v>76.844714003245059</v>
      </c>
      <c r="S58" s="12">
        <v>1.3269311623727931</v>
      </c>
      <c r="T58" s="12">
        <v>18</v>
      </c>
      <c r="U58" s="12">
        <v>50</v>
      </c>
      <c r="V58" s="12">
        <v>49.833333333333343</v>
      </c>
      <c r="W58" s="12">
        <v>50</v>
      </c>
      <c r="X58" s="12">
        <v>49.277777777777779</v>
      </c>
      <c r="Y58" s="12">
        <v>1.444444444444444</v>
      </c>
      <c r="Z58" s="12">
        <v>0</v>
      </c>
      <c r="AA58" s="12">
        <v>0</v>
      </c>
      <c r="AB58" s="11">
        <v>0</v>
      </c>
      <c r="AC58" s="12">
        <v>0</v>
      </c>
      <c r="AD58" s="11">
        <v>61</v>
      </c>
      <c r="AE58" s="13" t="b">
        <v>1</v>
      </c>
      <c r="AF58" s="10" t="s">
        <v>60</v>
      </c>
      <c r="AG58" s="10" t="s">
        <v>61</v>
      </c>
      <c r="AH58" s="12"/>
    </row>
    <row r="59" spans="1:34" ht="32.1" customHeight="1" x14ac:dyDescent="0.25">
      <c r="A59" s="10" t="s">
        <v>56</v>
      </c>
      <c r="B59" s="10" t="s">
        <v>80</v>
      </c>
      <c r="C59" s="10" t="s">
        <v>58</v>
      </c>
      <c r="D59" s="10" t="s">
        <v>3</v>
      </c>
      <c r="E59" s="10" t="s">
        <v>77</v>
      </c>
      <c r="F59" s="10" t="s">
        <v>62</v>
      </c>
      <c r="G59" s="11">
        <v>4</v>
      </c>
      <c r="H59" s="11">
        <v>103</v>
      </c>
      <c r="I59" s="11">
        <v>101</v>
      </c>
      <c r="J59" s="11">
        <v>2</v>
      </c>
      <c r="K59" s="11">
        <v>0</v>
      </c>
      <c r="L59" s="12">
        <v>145.25086388961981</v>
      </c>
      <c r="M59" s="12">
        <v>119.02237579824239</v>
      </c>
      <c r="N59" s="12">
        <v>254.91243220652771</v>
      </c>
      <c r="O59" s="12">
        <v>362.53088637654929</v>
      </c>
      <c r="P59" s="12">
        <v>51.68938889196378</v>
      </c>
      <c r="Q59" s="12">
        <v>1837.4750531197919</v>
      </c>
      <c r="R59" s="12">
        <v>177.35648145343609</v>
      </c>
      <c r="S59" s="12">
        <v>1.221035639335091</v>
      </c>
      <c r="T59" s="12">
        <v>18</v>
      </c>
      <c r="U59" s="12">
        <v>5</v>
      </c>
      <c r="V59" s="12">
        <v>5.6111111111111107</v>
      </c>
      <c r="W59" s="12">
        <v>5.7222222222222223</v>
      </c>
      <c r="X59" s="12">
        <v>5.6111111111111107</v>
      </c>
      <c r="Y59" s="12">
        <v>1.941747572815534</v>
      </c>
      <c r="Z59" s="12"/>
      <c r="AA59" s="12"/>
      <c r="AB59" s="11">
        <v>0</v>
      </c>
      <c r="AC59" s="12">
        <v>0</v>
      </c>
      <c r="AD59" s="11">
        <v>6</v>
      </c>
      <c r="AE59" s="13" t="b">
        <v>1</v>
      </c>
      <c r="AF59" s="10" t="s">
        <v>60</v>
      </c>
      <c r="AG59" s="10" t="s">
        <v>61</v>
      </c>
      <c r="AH59" s="12"/>
    </row>
    <row r="60" spans="1:34" ht="32.1" customHeight="1" x14ac:dyDescent="0.25">
      <c r="A60" s="10" t="s">
        <v>56</v>
      </c>
      <c r="B60" s="10" t="s">
        <v>80</v>
      </c>
      <c r="C60" s="10" t="s">
        <v>58</v>
      </c>
      <c r="D60" s="10" t="s">
        <v>3</v>
      </c>
      <c r="E60" s="10" t="s">
        <v>77</v>
      </c>
      <c r="F60" s="10" t="s">
        <v>63</v>
      </c>
      <c r="G60" s="11">
        <v>4</v>
      </c>
      <c r="H60" s="11">
        <v>615</v>
      </c>
      <c r="I60" s="11">
        <v>606</v>
      </c>
      <c r="J60" s="11">
        <v>9</v>
      </c>
      <c r="K60" s="11">
        <v>0</v>
      </c>
      <c r="L60" s="12">
        <v>42.189528871436067</v>
      </c>
      <c r="M60" s="12">
        <v>36.582579200597202</v>
      </c>
      <c r="N60" s="12">
        <v>70.483027070806003</v>
      </c>
      <c r="O60" s="12">
        <v>86.873957067910624</v>
      </c>
      <c r="P60" s="12">
        <v>11.194452668788371</v>
      </c>
      <c r="Q60" s="12">
        <v>619.84443071342901</v>
      </c>
      <c r="R60" s="12">
        <v>36.804906530803649</v>
      </c>
      <c r="S60" s="12">
        <v>0.87237064540253695</v>
      </c>
      <c r="T60" s="12">
        <v>18</v>
      </c>
      <c r="U60" s="12">
        <v>35</v>
      </c>
      <c r="V60" s="12">
        <v>34.111111111111107</v>
      </c>
      <c r="W60" s="12">
        <v>34.166666666666657</v>
      </c>
      <c r="X60" s="12">
        <v>33.666666666666657</v>
      </c>
      <c r="Y60" s="12">
        <v>1.463414634146341</v>
      </c>
      <c r="Z60" s="12"/>
      <c r="AA60" s="12"/>
      <c r="AB60" s="11">
        <v>0</v>
      </c>
      <c r="AC60" s="12">
        <v>0</v>
      </c>
      <c r="AD60" s="11">
        <v>44</v>
      </c>
      <c r="AE60" s="13" t="b">
        <v>1</v>
      </c>
      <c r="AF60" s="10" t="s">
        <v>60</v>
      </c>
      <c r="AG60" s="10" t="s">
        <v>61</v>
      </c>
      <c r="AH60" s="12"/>
    </row>
    <row r="61" spans="1:34" ht="32.1" customHeight="1" x14ac:dyDescent="0.25">
      <c r="A61" s="10" t="s">
        <v>56</v>
      </c>
      <c r="B61" s="10" t="s">
        <v>80</v>
      </c>
      <c r="C61" s="10" t="s">
        <v>58</v>
      </c>
      <c r="D61" s="10" t="s">
        <v>3</v>
      </c>
      <c r="E61" s="10" t="s">
        <v>77</v>
      </c>
      <c r="F61" s="10" t="s">
        <v>64</v>
      </c>
      <c r="G61" s="11">
        <v>4</v>
      </c>
      <c r="H61" s="11">
        <v>182</v>
      </c>
      <c r="I61" s="11">
        <v>180</v>
      </c>
      <c r="J61" s="11">
        <v>2</v>
      </c>
      <c r="K61" s="11">
        <v>0</v>
      </c>
      <c r="L61" s="12">
        <v>61.61014129102054</v>
      </c>
      <c r="M61" s="12">
        <v>55.893863735709282</v>
      </c>
      <c r="N61" s="12">
        <v>100.39942063688299</v>
      </c>
      <c r="O61" s="12">
        <v>124.91207388846659</v>
      </c>
      <c r="P61" s="12">
        <v>10.86154772275</v>
      </c>
      <c r="Q61" s="12">
        <v>559.62119085529514</v>
      </c>
      <c r="R61" s="12">
        <v>42.590134010172861</v>
      </c>
      <c r="S61" s="12">
        <v>0.69128447229158074</v>
      </c>
      <c r="T61" s="12">
        <v>18</v>
      </c>
      <c r="U61" s="12">
        <v>10</v>
      </c>
      <c r="V61" s="12">
        <v>10.111111111111111</v>
      </c>
      <c r="W61" s="12">
        <v>10.111111111111111</v>
      </c>
      <c r="X61" s="12">
        <v>10</v>
      </c>
      <c r="Y61" s="12">
        <v>1.098901098901099</v>
      </c>
      <c r="Z61" s="12"/>
      <c r="AA61" s="12"/>
      <c r="AB61" s="11">
        <v>0</v>
      </c>
      <c r="AC61" s="12">
        <v>0</v>
      </c>
      <c r="AD61" s="11">
        <v>11</v>
      </c>
      <c r="AE61" s="13" t="b">
        <v>1</v>
      </c>
      <c r="AF61" s="10" t="s">
        <v>60</v>
      </c>
      <c r="AG61" s="10" t="s">
        <v>61</v>
      </c>
      <c r="AH61" s="12"/>
    </row>
    <row r="62" spans="1:34" ht="32.1" customHeight="1" x14ac:dyDescent="0.25">
      <c r="A62" s="10" t="s">
        <v>56</v>
      </c>
      <c r="B62" s="10" t="s">
        <v>81</v>
      </c>
      <c r="C62" s="10" t="s">
        <v>58</v>
      </c>
      <c r="D62" s="10" t="s">
        <v>3</v>
      </c>
      <c r="E62" s="10" t="s">
        <v>77</v>
      </c>
      <c r="F62" s="10" t="s">
        <v>5</v>
      </c>
      <c r="G62" s="11">
        <v>5</v>
      </c>
      <c r="H62" s="11">
        <v>900</v>
      </c>
      <c r="I62" s="11">
        <v>894</v>
      </c>
      <c r="J62" s="11">
        <v>6</v>
      </c>
      <c r="K62" s="11">
        <v>0</v>
      </c>
      <c r="L62" s="12">
        <v>52.540664733195648</v>
      </c>
      <c r="M62" s="12">
        <v>42.411896743167759</v>
      </c>
      <c r="N62" s="12">
        <v>115.2669591172025</v>
      </c>
      <c r="O62" s="12">
        <v>185.20935796234079</v>
      </c>
      <c r="P62" s="12">
        <v>10.57325558920021</v>
      </c>
      <c r="Q62" s="12">
        <v>713.14341516559057</v>
      </c>
      <c r="R62" s="12">
        <v>39.779483104548518</v>
      </c>
      <c r="S62" s="12">
        <v>0.75711800196192602</v>
      </c>
      <c r="T62" s="12">
        <v>18</v>
      </c>
      <c r="U62" s="12">
        <v>50</v>
      </c>
      <c r="V62" s="12">
        <v>49.944444444444443</v>
      </c>
      <c r="W62" s="12">
        <v>50</v>
      </c>
      <c r="X62" s="12">
        <v>49.666666666666657</v>
      </c>
      <c r="Y62" s="12">
        <v>0.66666666666666663</v>
      </c>
      <c r="Z62" s="12">
        <v>0</v>
      </c>
      <c r="AA62" s="12">
        <v>0</v>
      </c>
      <c r="AB62" s="11">
        <v>0</v>
      </c>
      <c r="AC62" s="12">
        <v>0</v>
      </c>
      <c r="AD62" s="11">
        <v>55</v>
      </c>
      <c r="AE62" s="13" t="b">
        <v>1</v>
      </c>
      <c r="AF62" s="10" t="s">
        <v>60</v>
      </c>
      <c r="AG62" s="10" t="s">
        <v>61</v>
      </c>
      <c r="AH62" s="12"/>
    </row>
    <row r="63" spans="1:34" ht="32.1" customHeight="1" x14ac:dyDescent="0.25">
      <c r="A63" s="10" t="s">
        <v>56</v>
      </c>
      <c r="B63" s="10" t="s">
        <v>81</v>
      </c>
      <c r="C63" s="10" t="s">
        <v>58</v>
      </c>
      <c r="D63" s="10" t="s">
        <v>3</v>
      </c>
      <c r="E63" s="10" t="s">
        <v>77</v>
      </c>
      <c r="F63" s="10" t="s">
        <v>62</v>
      </c>
      <c r="G63" s="11">
        <v>5</v>
      </c>
      <c r="H63" s="11">
        <v>84</v>
      </c>
      <c r="I63" s="11">
        <v>83</v>
      </c>
      <c r="J63" s="11">
        <v>1</v>
      </c>
      <c r="K63" s="11">
        <v>0</v>
      </c>
      <c r="L63" s="12">
        <v>122.4129328536532</v>
      </c>
      <c r="M63" s="12">
        <v>109.56039243693731</v>
      </c>
      <c r="N63" s="12">
        <v>210.94202590739329</v>
      </c>
      <c r="O63" s="12">
        <v>271.15020575466588</v>
      </c>
      <c r="P63" s="12">
        <v>52.957055273139488</v>
      </c>
      <c r="Q63" s="12">
        <v>286.8398997361715</v>
      </c>
      <c r="R63" s="12">
        <v>49.151409527580149</v>
      </c>
      <c r="S63" s="12">
        <v>0.40152137835257568</v>
      </c>
      <c r="T63" s="12">
        <v>18</v>
      </c>
      <c r="U63" s="12">
        <v>5</v>
      </c>
      <c r="V63" s="12">
        <v>4.666666666666667</v>
      </c>
      <c r="W63" s="12">
        <v>4.666666666666667</v>
      </c>
      <c r="X63" s="12">
        <v>4.6111111111111107</v>
      </c>
      <c r="Y63" s="12">
        <v>1.19047619047619</v>
      </c>
      <c r="Z63" s="12"/>
      <c r="AA63" s="12"/>
      <c r="AB63" s="11">
        <v>0</v>
      </c>
      <c r="AC63" s="12">
        <v>0</v>
      </c>
      <c r="AD63" s="11">
        <v>3</v>
      </c>
      <c r="AE63" s="13" t="b">
        <v>1</v>
      </c>
      <c r="AF63" s="10" t="s">
        <v>60</v>
      </c>
      <c r="AG63" s="10" t="s">
        <v>61</v>
      </c>
      <c r="AH63" s="12"/>
    </row>
    <row r="64" spans="1:34" ht="32.1" customHeight="1" x14ac:dyDescent="0.25">
      <c r="A64" s="10" t="s">
        <v>56</v>
      </c>
      <c r="B64" s="10" t="s">
        <v>81</v>
      </c>
      <c r="C64" s="10" t="s">
        <v>58</v>
      </c>
      <c r="D64" s="10" t="s">
        <v>3</v>
      </c>
      <c r="E64" s="10" t="s">
        <v>77</v>
      </c>
      <c r="F64" s="10" t="s">
        <v>63</v>
      </c>
      <c r="G64" s="11">
        <v>5</v>
      </c>
      <c r="H64" s="11">
        <v>622</v>
      </c>
      <c r="I64" s="11">
        <v>620</v>
      </c>
      <c r="J64" s="11">
        <v>2</v>
      </c>
      <c r="K64" s="11">
        <v>0</v>
      </c>
      <c r="L64" s="12">
        <v>40.539016728426333</v>
      </c>
      <c r="M64" s="12">
        <v>36.779149835517181</v>
      </c>
      <c r="N64" s="12">
        <v>70.229292864115678</v>
      </c>
      <c r="O64" s="12">
        <v>87.053562702099953</v>
      </c>
      <c r="P64" s="12">
        <v>10.57325558920021</v>
      </c>
      <c r="Q64" s="12">
        <v>713.14341516559057</v>
      </c>
      <c r="R64" s="12">
        <v>31.14273050019909</v>
      </c>
      <c r="S64" s="12">
        <v>0.7682162275623603</v>
      </c>
      <c r="T64" s="12">
        <v>18</v>
      </c>
      <c r="U64" s="12">
        <v>35</v>
      </c>
      <c r="V64" s="12">
        <v>34.5</v>
      </c>
      <c r="W64" s="12">
        <v>34.555555555555557</v>
      </c>
      <c r="X64" s="12">
        <v>34.444444444444443</v>
      </c>
      <c r="Y64" s="12">
        <v>0.32154340836012862</v>
      </c>
      <c r="Z64" s="12"/>
      <c r="AA64" s="12"/>
      <c r="AB64" s="11">
        <v>0</v>
      </c>
      <c r="AC64" s="12">
        <v>0</v>
      </c>
      <c r="AD64" s="11">
        <v>39</v>
      </c>
      <c r="AE64" s="13" t="b">
        <v>1</v>
      </c>
      <c r="AF64" s="10" t="s">
        <v>60</v>
      </c>
      <c r="AG64" s="10" t="s">
        <v>61</v>
      </c>
      <c r="AH64" s="12"/>
    </row>
    <row r="65" spans="1:34" ht="32.1" customHeight="1" x14ac:dyDescent="0.25">
      <c r="A65" s="10" t="s">
        <v>56</v>
      </c>
      <c r="B65" s="10" t="s">
        <v>81</v>
      </c>
      <c r="C65" s="10" t="s">
        <v>58</v>
      </c>
      <c r="D65" s="10" t="s">
        <v>3</v>
      </c>
      <c r="E65" s="10" t="s">
        <v>77</v>
      </c>
      <c r="F65" s="10" t="s">
        <v>64</v>
      </c>
      <c r="G65" s="11">
        <v>5</v>
      </c>
      <c r="H65" s="11">
        <v>194</v>
      </c>
      <c r="I65" s="11">
        <v>191</v>
      </c>
      <c r="J65" s="11">
        <v>3</v>
      </c>
      <c r="K65" s="11">
        <v>0</v>
      </c>
      <c r="L65" s="12">
        <v>60.766203582928</v>
      </c>
      <c r="M65" s="12">
        <v>58.121561519958412</v>
      </c>
      <c r="N65" s="12">
        <v>105.3120657990043</v>
      </c>
      <c r="O65" s="12">
        <v>124.329265235997</v>
      </c>
      <c r="P65" s="12">
        <v>19.92156360052925</v>
      </c>
      <c r="Q65" s="12">
        <v>137.12745838073579</v>
      </c>
      <c r="R65" s="12">
        <v>23.54147755762844</v>
      </c>
      <c r="S65" s="12">
        <v>0.38741070150122581</v>
      </c>
      <c r="T65" s="12">
        <v>18</v>
      </c>
      <c r="U65" s="12">
        <v>10</v>
      </c>
      <c r="V65" s="12">
        <v>10.77777777777778</v>
      </c>
      <c r="W65" s="12">
        <v>10.77777777777778</v>
      </c>
      <c r="X65" s="12">
        <v>10.611111111111111</v>
      </c>
      <c r="Y65" s="12">
        <v>1.5463917525773201</v>
      </c>
      <c r="Z65" s="12"/>
      <c r="AA65" s="12"/>
      <c r="AB65" s="11">
        <v>0</v>
      </c>
      <c r="AC65" s="12">
        <v>0</v>
      </c>
      <c r="AD65" s="11">
        <v>13</v>
      </c>
      <c r="AE65" s="13" t="b">
        <v>1</v>
      </c>
      <c r="AF65" s="10" t="s">
        <v>60</v>
      </c>
      <c r="AG65" s="10" t="s">
        <v>61</v>
      </c>
      <c r="AH65" s="12"/>
    </row>
    <row r="66" spans="1:34" ht="32.1" customHeight="1" x14ac:dyDescent="0.25">
      <c r="A66" s="10" t="s">
        <v>56</v>
      </c>
      <c r="B66" s="10" t="s">
        <v>82</v>
      </c>
      <c r="C66" s="10" t="s">
        <v>58</v>
      </c>
      <c r="D66" s="10" t="s">
        <v>3</v>
      </c>
      <c r="E66" s="10" t="s">
        <v>83</v>
      </c>
      <c r="F66" s="10" t="s">
        <v>5</v>
      </c>
      <c r="G66" s="11">
        <v>1</v>
      </c>
      <c r="H66" s="11">
        <v>90</v>
      </c>
      <c r="I66" s="11">
        <v>90</v>
      </c>
      <c r="J66" s="11">
        <v>0</v>
      </c>
      <c r="K66" s="11">
        <v>0</v>
      </c>
      <c r="L66" s="12">
        <v>61.428075027894337</v>
      </c>
      <c r="M66" s="12">
        <v>47.291541075316751</v>
      </c>
      <c r="N66" s="12">
        <v>141.62978002549909</v>
      </c>
      <c r="O66" s="12">
        <v>234.8187373983267</v>
      </c>
      <c r="P66" s="12">
        <v>14.962856438577029</v>
      </c>
      <c r="Q66" s="12">
        <v>242.5996896633599</v>
      </c>
      <c r="R66" s="12">
        <v>42.891532138443722</v>
      </c>
      <c r="S66" s="12">
        <v>0.69823988654970504</v>
      </c>
      <c r="T66" s="12">
        <v>18</v>
      </c>
      <c r="U66" s="12">
        <v>5</v>
      </c>
      <c r="V66" s="12">
        <v>5</v>
      </c>
      <c r="W66" s="12">
        <v>5</v>
      </c>
      <c r="X66" s="12">
        <v>5</v>
      </c>
      <c r="Y66" s="12">
        <v>0</v>
      </c>
      <c r="Z66" s="12">
        <v>0</v>
      </c>
      <c r="AA66" s="12">
        <v>0</v>
      </c>
      <c r="AB66" s="11">
        <v>0</v>
      </c>
      <c r="AC66" s="12">
        <v>0</v>
      </c>
      <c r="AD66" s="11">
        <v>6</v>
      </c>
      <c r="AE66" s="13" t="b">
        <v>1</v>
      </c>
      <c r="AF66" s="10" t="s">
        <v>60</v>
      </c>
      <c r="AG66" s="10" t="s">
        <v>61</v>
      </c>
      <c r="AH66" s="12"/>
    </row>
    <row r="67" spans="1:34" ht="32.1" customHeight="1" x14ac:dyDescent="0.25">
      <c r="A67" s="10" t="s">
        <v>56</v>
      </c>
      <c r="B67" s="10" t="s">
        <v>82</v>
      </c>
      <c r="C67" s="10" t="s">
        <v>58</v>
      </c>
      <c r="D67" s="10" t="s">
        <v>3</v>
      </c>
      <c r="E67" s="10" t="s">
        <v>83</v>
      </c>
      <c r="F67" s="10" t="s">
        <v>62</v>
      </c>
      <c r="G67" s="11">
        <v>1</v>
      </c>
      <c r="H67" s="11">
        <v>10</v>
      </c>
      <c r="I67" s="11">
        <v>10</v>
      </c>
      <c r="J67" s="11">
        <v>0</v>
      </c>
      <c r="K67" s="11">
        <v>0</v>
      </c>
      <c r="L67" s="12">
        <v>146.6401601079973</v>
      </c>
      <c r="M67" s="12">
        <v>126.73907073437751</v>
      </c>
      <c r="N67" s="12">
        <v>238.66550031587121</v>
      </c>
      <c r="O67" s="12">
        <v>241.81285179386219</v>
      </c>
      <c r="P67" s="12">
        <v>75.966213126169848</v>
      </c>
      <c r="Q67" s="12">
        <v>242.5996896633599</v>
      </c>
      <c r="R67" s="12">
        <v>61.146320941795018</v>
      </c>
      <c r="S67" s="12">
        <v>0.41698209342353459</v>
      </c>
      <c r="T67" s="12">
        <v>18</v>
      </c>
      <c r="U67" s="12">
        <v>0.5</v>
      </c>
      <c r="V67" s="12">
        <v>0.55555555555555558</v>
      </c>
      <c r="W67" s="12">
        <v>0.55555555555555558</v>
      </c>
      <c r="X67" s="12">
        <v>0.55555555555555558</v>
      </c>
      <c r="Y67" s="12">
        <v>0</v>
      </c>
      <c r="Z67" s="12"/>
      <c r="AA67" s="12"/>
      <c r="AB67" s="11">
        <v>0</v>
      </c>
      <c r="AC67" s="12">
        <v>0</v>
      </c>
      <c r="AD67" s="11">
        <v>2</v>
      </c>
      <c r="AE67" s="13" t="b">
        <v>0</v>
      </c>
      <c r="AF67" s="10" t="s">
        <v>60</v>
      </c>
      <c r="AG67" s="10" t="s">
        <v>61</v>
      </c>
      <c r="AH67" s="10" t="s">
        <v>71</v>
      </c>
    </row>
    <row r="68" spans="1:34" ht="32.1" customHeight="1" x14ac:dyDescent="0.25">
      <c r="A68" s="10" t="s">
        <v>56</v>
      </c>
      <c r="B68" s="10" t="s">
        <v>82</v>
      </c>
      <c r="C68" s="10" t="s">
        <v>58</v>
      </c>
      <c r="D68" s="10" t="s">
        <v>3</v>
      </c>
      <c r="E68" s="10" t="s">
        <v>83</v>
      </c>
      <c r="F68" s="10" t="s">
        <v>63</v>
      </c>
      <c r="G68" s="11">
        <v>1</v>
      </c>
      <c r="H68" s="11">
        <v>60</v>
      </c>
      <c r="I68" s="11">
        <v>60</v>
      </c>
      <c r="J68" s="11">
        <v>0</v>
      </c>
      <c r="K68" s="11">
        <v>0</v>
      </c>
      <c r="L68" s="12">
        <v>44.077812939024177</v>
      </c>
      <c r="M68" s="12">
        <v>39.29830158946109</v>
      </c>
      <c r="N68" s="12">
        <v>79.574249163841884</v>
      </c>
      <c r="O68" s="12">
        <v>111.19447072760541</v>
      </c>
      <c r="P68" s="12">
        <v>14.962856438577029</v>
      </c>
      <c r="Q68" s="12">
        <v>148.03498633341661</v>
      </c>
      <c r="R68" s="12">
        <v>20.73029652112449</v>
      </c>
      <c r="S68" s="12">
        <v>0.47031136843840471</v>
      </c>
      <c r="T68" s="12">
        <v>18</v>
      </c>
      <c r="U68" s="12">
        <v>3.5</v>
      </c>
      <c r="V68" s="12">
        <v>3.333333333333333</v>
      </c>
      <c r="W68" s="12">
        <v>3.333333333333333</v>
      </c>
      <c r="X68" s="12">
        <v>3.333333333333333</v>
      </c>
      <c r="Y68" s="12">
        <v>0</v>
      </c>
      <c r="Z68" s="12"/>
      <c r="AA68" s="12"/>
      <c r="AB68" s="11">
        <v>0</v>
      </c>
      <c r="AC68" s="12">
        <v>0</v>
      </c>
      <c r="AD68" s="11">
        <v>3</v>
      </c>
      <c r="AE68" s="13" t="b">
        <v>1</v>
      </c>
      <c r="AF68" s="10" t="s">
        <v>60</v>
      </c>
      <c r="AG68" s="10" t="s">
        <v>61</v>
      </c>
      <c r="AH68" s="12"/>
    </row>
    <row r="69" spans="1:34" ht="32.1" customHeight="1" x14ac:dyDescent="0.25">
      <c r="A69" s="10" t="s">
        <v>56</v>
      </c>
      <c r="B69" s="10" t="s">
        <v>82</v>
      </c>
      <c r="C69" s="10" t="s">
        <v>58</v>
      </c>
      <c r="D69" s="10" t="s">
        <v>3</v>
      </c>
      <c r="E69" s="10" t="s">
        <v>83</v>
      </c>
      <c r="F69" s="10" t="s">
        <v>64</v>
      </c>
      <c r="G69" s="11">
        <v>1</v>
      </c>
      <c r="H69" s="11">
        <v>20</v>
      </c>
      <c r="I69" s="11">
        <v>20</v>
      </c>
      <c r="J69" s="11">
        <v>0</v>
      </c>
      <c r="K69" s="11">
        <v>0</v>
      </c>
      <c r="L69" s="12">
        <v>70.872818754453334</v>
      </c>
      <c r="M69" s="12">
        <v>64.488746795560445</v>
      </c>
      <c r="N69" s="12">
        <v>106.866466020187</v>
      </c>
      <c r="O69" s="12">
        <v>127.732141114275</v>
      </c>
      <c r="P69" s="12">
        <v>43.061434309785852</v>
      </c>
      <c r="Q69" s="12">
        <v>132.9485598877971</v>
      </c>
      <c r="R69" s="12">
        <v>25.412451140225532</v>
      </c>
      <c r="S69" s="12">
        <v>0.35856413766002099</v>
      </c>
      <c r="T69" s="12">
        <v>18</v>
      </c>
      <c r="U69" s="12">
        <v>1</v>
      </c>
      <c r="V69" s="12">
        <v>1.1111111111111109</v>
      </c>
      <c r="W69" s="12">
        <v>1.1111111111111109</v>
      </c>
      <c r="X69" s="12">
        <v>1.1111111111111109</v>
      </c>
      <c r="Y69" s="12">
        <v>0</v>
      </c>
      <c r="Z69" s="12"/>
      <c r="AA69" s="12"/>
      <c r="AB69" s="11">
        <v>0</v>
      </c>
      <c r="AC69" s="12">
        <v>0</v>
      </c>
      <c r="AD69" s="11">
        <v>1</v>
      </c>
      <c r="AE69" s="13" t="b">
        <v>0</v>
      </c>
      <c r="AF69" s="10" t="s">
        <v>60</v>
      </c>
      <c r="AG69" s="10" t="s">
        <v>61</v>
      </c>
      <c r="AH69" s="10" t="s">
        <v>71</v>
      </c>
    </row>
    <row r="70" spans="1:34" ht="32.1" customHeight="1" x14ac:dyDescent="0.25">
      <c r="A70" s="10" t="s">
        <v>56</v>
      </c>
      <c r="B70" s="10" t="s">
        <v>84</v>
      </c>
      <c r="C70" s="10" t="s">
        <v>58</v>
      </c>
      <c r="D70" s="10" t="s">
        <v>3</v>
      </c>
      <c r="E70" s="10" t="s">
        <v>83</v>
      </c>
      <c r="F70" s="10" t="s">
        <v>5</v>
      </c>
      <c r="G70" s="11">
        <v>2</v>
      </c>
      <c r="H70" s="11">
        <v>90</v>
      </c>
      <c r="I70" s="11">
        <v>89</v>
      </c>
      <c r="J70" s="11">
        <v>1</v>
      </c>
      <c r="K70" s="11">
        <v>0</v>
      </c>
      <c r="L70" s="12">
        <v>43.711141564187251</v>
      </c>
      <c r="M70" s="12">
        <v>38.564354934767408</v>
      </c>
      <c r="N70" s="12">
        <v>75.518044125010931</v>
      </c>
      <c r="O70" s="12">
        <v>144.2418991303432</v>
      </c>
      <c r="P70" s="12">
        <v>14.501743325655911</v>
      </c>
      <c r="Q70" s="12">
        <v>192.82898971369281</v>
      </c>
      <c r="R70" s="12">
        <v>25.42308060018464</v>
      </c>
      <c r="S70" s="12">
        <v>0.58161557192123059</v>
      </c>
      <c r="T70" s="12">
        <v>18</v>
      </c>
      <c r="U70" s="12">
        <v>5</v>
      </c>
      <c r="V70" s="12">
        <v>5</v>
      </c>
      <c r="W70" s="12">
        <v>5</v>
      </c>
      <c r="X70" s="12">
        <v>4.9444444444444446</v>
      </c>
      <c r="Y70" s="12">
        <v>1.1111111111111109</v>
      </c>
      <c r="Z70" s="12">
        <v>0</v>
      </c>
      <c r="AA70" s="12">
        <v>0</v>
      </c>
      <c r="AB70" s="11">
        <v>0</v>
      </c>
      <c r="AC70" s="12">
        <v>0</v>
      </c>
      <c r="AD70" s="11">
        <v>8</v>
      </c>
      <c r="AE70" s="13" t="b">
        <v>1</v>
      </c>
      <c r="AF70" s="10" t="s">
        <v>60</v>
      </c>
      <c r="AG70" s="10" t="s">
        <v>61</v>
      </c>
      <c r="AH70" s="12"/>
    </row>
    <row r="71" spans="1:34" ht="32.1" customHeight="1" x14ac:dyDescent="0.25">
      <c r="A71" s="10" t="s">
        <v>56</v>
      </c>
      <c r="B71" s="10" t="s">
        <v>84</v>
      </c>
      <c r="C71" s="10" t="s">
        <v>58</v>
      </c>
      <c r="D71" s="10" t="s">
        <v>3</v>
      </c>
      <c r="E71" s="10" t="s">
        <v>83</v>
      </c>
      <c r="F71" s="10" t="s">
        <v>62</v>
      </c>
      <c r="G71" s="11">
        <v>2</v>
      </c>
      <c r="H71" s="11">
        <v>8</v>
      </c>
      <c r="I71" s="11">
        <v>7</v>
      </c>
      <c r="J71" s="11">
        <v>1</v>
      </c>
      <c r="K71" s="11">
        <v>0</v>
      </c>
      <c r="L71" s="12">
        <v>97.495411051796424</v>
      </c>
      <c r="M71" s="12">
        <v>84.167234910198744</v>
      </c>
      <c r="N71" s="12">
        <v>173.72170690001599</v>
      </c>
      <c r="O71" s="12">
        <v>189.00753315095741</v>
      </c>
      <c r="P71" s="12">
        <v>48.746480057076283</v>
      </c>
      <c r="Q71" s="12">
        <v>192.82898971369281</v>
      </c>
      <c r="R71" s="12">
        <v>47.023393597353007</v>
      </c>
      <c r="S71" s="12">
        <v>0.48231391703524251</v>
      </c>
      <c r="T71" s="12">
        <v>18</v>
      </c>
      <c r="U71" s="12">
        <v>0.5</v>
      </c>
      <c r="V71" s="12">
        <v>0.44444444444444442</v>
      </c>
      <c r="W71" s="12">
        <v>0.44444444444444442</v>
      </c>
      <c r="X71" s="12">
        <v>0.3888888888888889</v>
      </c>
      <c r="Y71" s="12">
        <v>12.5</v>
      </c>
      <c r="Z71" s="12"/>
      <c r="AA71" s="12"/>
      <c r="AB71" s="11">
        <v>0</v>
      </c>
      <c r="AC71" s="12">
        <v>0</v>
      </c>
      <c r="AD71" s="11">
        <v>3</v>
      </c>
      <c r="AE71" s="13" t="b">
        <v>0</v>
      </c>
      <c r="AF71" s="10" t="s">
        <v>60</v>
      </c>
      <c r="AG71" s="10" t="s">
        <v>61</v>
      </c>
      <c r="AH71" s="10" t="s">
        <v>71</v>
      </c>
    </row>
    <row r="72" spans="1:34" ht="32.1" customHeight="1" x14ac:dyDescent="0.25">
      <c r="A72" s="10" t="s">
        <v>56</v>
      </c>
      <c r="B72" s="10" t="s">
        <v>84</v>
      </c>
      <c r="C72" s="10" t="s">
        <v>58</v>
      </c>
      <c r="D72" s="10" t="s">
        <v>3</v>
      </c>
      <c r="E72" s="10" t="s">
        <v>83</v>
      </c>
      <c r="F72" s="10" t="s">
        <v>63</v>
      </c>
      <c r="G72" s="11">
        <v>2</v>
      </c>
      <c r="H72" s="11">
        <v>56</v>
      </c>
      <c r="I72" s="11">
        <v>56</v>
      </c>
      <c r="J72" s="11">
        <v>0</v>
      </c>
      <c r="K72" s="11">
        <v>0</v>
      </c>
      <c r="L72" s="12">
        <v>34.950759840292157</v>
      </c>
      <c r="M72" s="12">
        <v>32.805320861274737</v>
      </c>
      <c r="N72" s="12">
        <v>64.336958907945984</v>
      </c>
      <c r="O72" s="12">
        <v>69.514397976337634</v>
      </c>
      <c r="P72" s="12">
        <v>14.501743325655911</v>
      </c>
      <c r="Q72" s="12">
        <v>72.736588379020844</v>
      </c>
      <c r="R72" s="12">
        <v>13.793547885987101</v>
      </c>
      <c r="S72" s="12">
        <v>0.39465659542215559</v>
      </c>
      <c r="T72" s="12">
        <v>18</v>
      </c>
      <c r="U72" s="12">
        <v>3.5</v>
      </c>
      <c r="V72" s="12">
        <v>3.1111111111111112</v>
      </c>
      <c r="W72" s="12">
        <v>3.1111111111111112</v>
      </c>
      <c r="X72" s="12">
        <v>3.1111111111111112</v>
      </c>
      <c r="Y72" s="12">
        <v>0</v>
      </c>
      <c r="Z72" s="12"/>
      <c r="AA72" s="12"/>
      <c r="AB72" s="11">
        <v>0</v>
      </c>
      <c r="AC72" s="12">
        <v>0</v>
      </c>
      <c r="AD72" s="11">
        <v>3</v>
      </c>
      <c r="AE72" s="13" t="b">
        <v>1</v>
      </c>
      <c r="AF72" s="10" t="s">
        <v>60</v>
      </c>
      <c r="AG72" s="10" t="s">
        <v>61</v>
      </c>
      <c r="AH72" s="12"/>
    </row>
    <row r="73" spans="1:34" ht="32.1" customHeight="1" x14ac:dyDescent="0.25">
      <c r="A73" s="10" t="s">
        <v>56</v>
      </c>
      <c r="B73" s="10" t="s">
        <v>84</v>
      </c>
      <c r="C73" s="10" t="s">
        <v>58</v>
      </c>
      <c r="D73" s="10" t="s">
        <v>3</v>
      </c>
      <c r="E73" s="10" t="s">
        <v>83</v>
      </c>
      <c r="F73" s="10" t="s">
        <v>64</v>
      </c>
      <c r="G73" s="11">
        <v>2</v>
      </c>
      <c r="H73" s="11">
        <v>26</v>
      </c>
      <c r="I73" s="11">
        <v>26</v>
      </c>
      <c r="J73" s="11">
        <v>0</v>
      </c>
      <c r="K73" s="11">
        <v>0</v>
      </c>
      <c r="L73" s="12">
        <v>46.03065005023538</v>
      </c>
      <c r="M73" s="12">
        <v>46.59473744103537</v>
      </c>
      <c r="N73" s="12">
        <v>66.625119011148485</v>
      </c>
      <c r="O73" s="12">
        <v>73.411944806077344</v>
      </c>
      <c r="P73" s="12">
        <v>21.384527430232769</v>
      </c>
      <c r="Q73" s="12">
        <v>75.180717530284838</v>
      </c>
      <c r="R73" s="12">
        <v>12.65115051367405</v>
      </c>
      <c r="S73" s="12">
        <v>0.27484188252538821</v>
      </c>
      <c r="T73" s="12">
        <v>18</v>
      </c>
      <c r="U73" s="12">
        <v>1</v>
      </c>
      <c r="V73" s="12">
        <v>1.444444444444444</v>
      </c>
      <c r="W73" s="12">
        <v>1.444444444444444</v>
      </c>
      <c r="X73" s="12">
        <v>1.444444444444444</v>
      </c>
      <c r="Y73" s="12">
        <v>0</v>
      </c>
      <c r="Z73" s="12"/>
      <c r="AA73" s="12"/>
      <c r="AB73" s="11">
        <v>0</v>
      </c>
      <c r="AC73" s="12">
        <v>0</v>
      </c>
      <c r="AD73" s="11">
        <v>2</v>
      </c>
      <c r="AE73" s="13" t="b">
        <v>0</v>
      </c>
      <c r="AF73" s="10" t="s">
        <v>60</v>
      </c>
      <c r="AG73" s="10" t="s">
        <v>61</v>
      </c>
      <c r="AH73" s="10" t="s">
        <v>71</v>
      </c>
    </row>
    <row r="74" spans="1:34" ht="32.1" customHeight="1" x14ac:dyDescent="0.25">
      <c r="A74" s="10" t="s">
        <v>56</v>
      </c>
      <c r="B74" s="10" t="s">
        <v>85</v>
      </c>
      <c r="C74" s="10" t="s">
        <v>58</v>
      </c>
      <c r="D74" s="10" t="s">
        <v>3</v>
      </c>
      <c r="E74" s="10" t="s">
        <v>83</v>
      </c>
      <c r="F74" s="10" t="s">
        <v>5</v>
      </c>
      <c r="G74" s="11">
        <v>3</v>
      </c>
      <c r="H74" s="11">
        <v>90</v>
      </c>
      <c r="I74" s="11">
        <v>89</v>
      </c>
      <c r="J74" s="11">
        <v>1</v>
      </c>
      <c r="K74" s="11">
        <v>0</v>
      </c>
      <c r="L74" s="12">
        <v>46.323860547663642</v>
      </c>
      <c r="M74" s="12">
        <v>38.284377406773871</v>
      </c>
      <c r="N74" s="12">
        <v>95.159384883778841</v>
      </c>
      <c r="O74" s="12">
        <v>154.02064400545879</v>
      </c>
      <c r="P74" s="12">
        <v>8.5942333714024972</v>
      </c>
      <c r="Q74" s="12">
        <v>222.9967537120335</v>
      </c>
      <c r="R74" s="12">
        <v>29.95036537689376</v>
      </c>
      <c r="S74" s="12">
        <v>0.64654294833819326</v>
      </c>
      <c r="T74" s="12">
        <v>18</v>
      </c>
      <c r="U74" s="12">
        <v>5</v>
      </c>
      <c r="V74" s="12">
        <v>5</v>
      </c>
      <c r="W74" s="12">
        <v>5</v>
      </c>
      <c r="X74" s="12">
        <v>4.9444444444444446</v>
      </c>
      <c r="Y74" s="12">
        <v>1.1111111111111109</v>
      </c>
      <c r="Z74" s="12">
        <v>0</v>
      </c>
      <c r="AA74" s="12">
        <v>0</v>
      </c>
      <c r="AB74" s="11">
        <v>0</v>
      </c>
      <c r="AC74" s="12">
        <v>0</v>
      </c>
      <c r="AD74" s="11">
        <v>6</v>
      </c>
      <c r="AE74" s="13" t="b">
        <v>1</v>
      </c>
      <c r="AF74" s="10" t="s">
        <v>60</v>
      </c>
      <c r="AG74" s="10" t="s">
        <v>61</v>
      </c>
      <c r="AH74" s="12"/>
    </row>
    <row r="75" spans="1:34" ht="32.1" customHeight="1" x14ac:dyDescent="0.25">
      <c r="A75" s="10" t="s">
        <v>56</v>
      </c>
      <c r="B75" s="10" t="s">
        <v>85</v>
      </c>
      <c r="C75" s="10" t="s">
        <v>58</v>
      </c>
      <c r="D75" s="10" t="s">
        <v>3</v>
      </c>
      <c r="E75" s="10" t="s">
        <v>83</v>
      </c>
      <c r="F75" s="10" t="s">
        <v>62</v>
      </c>
      <c r="G75" s="11">
        <v>3</v>
      </c>
      <c r="H75" s="11">
        <v>8</v>
      </c>
      <c r="I75" s="11">
        <v>8</v>
      </c>
      <c r="J75" s="11">
        <v>0</v>
      </c>
      <c r="K75" s="11">
        <v>0</v>
      </c>
      <c r="L75" s="12">
        <v>110.714892612741</v>
      </c>
      <c r="M75" s="12">
        <v>97.655700894050327</v>
      </c>
      <c r="N75" s="12">
        <v>195.8713173105715</v>
      </c>
      <c r="O75" s="12">
        <v>217.57166643174111</v>
      </c>
      <c r="P75" s="12">
        <v>63.508656675591233</v>
      </c>
      <c r="Q75" s="12">
        <v>222.9967537120335</v>
      </c>
      <c r="R75" s="12">
        <v>53.097931566909907</v>
      </c>
      <c r="S75" s="12">
        <v>0.4795915916446406</v>
      </c>
      <c r="T75" s="12">
        <v>18</v>
      </c>
      <c r="U75" s="12">
        <v>0.5</v>
      </c>
      <c r="V75" s="12">
        <v>0.44444444444444442</v>
      </c>
      <c r="W75" s="12">
        <v>0.44444444444444442</v>
      </c>
      <c r="X75" s="12">
        <v>0.44444444444444442</v>
      </c>
      <c r="Y75" s="12">
        <v>0</v>
      </c>
      <c r="Z75" s="12"/>
      <c r="AA75" s="12"/>
      <c r="AB75" s="11">
        <v>0</v>
      </c>
      <c r="AC75" s="12">
        <v>0</v>
      </c>
      <c r="AD75" s="11">
        <v>1</v>
      </c>
      <c r="AE75" s="13" t="b">
        <v>0</v>
      </c>
      <c r="AF75" s="10" t="s">
        <v>60</v>
      </c>
      <c r="AG75" s="10" t="s">
        <v>61</v>
      </c>
      <c r="AH75" s="10" t="s">
        <v>71</v>
      </c>
    </row>
    <row r="76" spans="1:34" ht="32.1" customHeight="1" x14ac:dyDescent="0.25">
      <c r="A76" s="10" t="s">
        <v>56</v>
      </c>
      <c r="B76" s="10" t="s">
        <v>85</v>
      </c>
      <c r="C76" s="10" t="s">
        <v>58</v>
      </c>
      <c r="D76" s="10" t="s">
        <v>3</v>
      </c>
      <c r="E76" s="10" t="s">
        <v>83</v>
      </c>
      <c r="F76" s="10" t="s">
        <v>63</v>
      </c>
      <c r="G76" s="11">
        <v>3</v>
      </c>
      <c r="H76" s="11">
        <v>62</v>
      </c>
      <c r="I76" s="11">
        <v>61</v>
      </c>
      <c r="J76" s="11">
        <v>1</v>
      </c>
      <c r="K76" s="11">
        <v>0</v>
      </c>
      <c r="L76" s="12">
        <v>37.558367373928107</v>
      </c>
      <c r="M76" s="12">
        <v>35.785929696624642</v>
      </c>
      <c r="N76" s="12">
        <v>67.166107848919054</v>
      </c>
      <c r="O76" s="12">
        <v>83.959815899565371</v>
      </c>
      <c r="P76" s="12">
        <v>8.5942333714024972</v>
      </c>
      <c r="Q76" s="12">
        <v>91.615497644889345</v>
      </c>
      <c r="R76" s="12">
        <v>16.02192584640526</v>
      </c>
      <c r="S76" s="12">
        <v>0.42658738828800108</v>
      </c>
      <c r="T76" s="12">
        <v>18</v>
      </c>
      <c r="U76" s="12">
        <v>3.5</v>
      </c>
      <c r="V76" s="12">
        <v>3.4444444444444451</v>
      </c>
      <c r="W76" s="12">
        <v>3.4444444444444451</v>
      </c>
      <c r="X76" s="12">
        <v>3.3888888888888888</v>
      </c>
      <c r="Y76" s="12">
        <v>1.612903225806452</v>
      </c>
      <c r="Z76" s="12"/>
      <c r="AA76" s="12"/>
      <c r="AB76" s="11">
        <v>0</v>
      </c>
      <c r="AC76" s="12">
        <v>0</v>
      </c>
      <c r="AD76" s="11">
        <v>3</v>
      </c>
      <c r="AE76" s="13" t="b">
        <v>1</v>
      </c>
      <c r="AF76" s="10" t="s">
        <v>60</v>
      </c>
      <c r="AG76" s="10" t="s">
        <v>61</v>
      </c>
      <c r="AH76" s="12"/>
    </row>
    <row r="77" spans="1:34" ht="32.1" customHeight="1" x14ac:dyDescent="0.25">
      <c r="A77" s="10" t="s">
        <v>56</v>
      </c>
      <c r="B77" s="10" t="s">
        <v>85</v>
      </c>
      <c r="C77" s="10" t="s">
        <v>58</v>
      </c>
      <c r="D77" s="10" t="s">
        <v>3</v>
      </c>
      <c r="E77" s="10" t="s">
        <v>83</v>
      </c>
      <c r="F77" s="10" t="s">
        <v>64</v>
      </c>
      <c r="G77" s="11">
        <v>3</v>
      </c>
      <c r="H77" s="11">
        <v>20</v>
      </c>
      <c r="I77" s="11">
        <v>20</v>
      </c>
      <c r="J77" s="11">
        <v>0</v>
      </c>
      <c r="K77" s="11">
        <v>0</v>
      </c>
      <c r="L77" s="12">
        <v>47.740476560212741</v>
      </c>
      <c r="M77" s="12">
        <v>44.718338162162112</v>
      </c>
      <c r="N77" s="12">
        <v>81.625453712076322</v>
      </c>
      <c r="O77" s="12">
        <v>94.772233933075086</v>
      </c>
      <c r="P77" s="12">
        <v>17.68480560631242</v>
      </c>
      <c r="Q77" s="12">
        <v>98.058928988324794</v>
      </c>
      <c r="R77" s="12">
        <v>18.449266653072449</v>
      </c>
      <c r="S77" s="12">
        <v>0.38644915137793578</v>
      </c>
      <c r="T77" s="12">
        <v>18</v>
      </c>
      <c r="U77" s="12">
        <v>1</v>
      </c>
      <c r="V77" s="12">
        <v>1.1111111111111109</v>
      </c>
      <c r="W77" s="12">
        <v>1.1111111111111109</v>
      </c>
      <c r="X77" s="12">
        <v>1.1111111111111109</v>
      </c>
      <c r="Y77" s="12">
        <v>0</v>
      </c>
      <c r="Z77" s="12"/>
      <c r="AA77" s="12"/>
      <c r="AB77" s="11">
        <v>0</v>
      </c>
      <c r="AC77" s="12">
        <v>0</v>
      </c>
      <c r="AD77" s="11">
        <v>2</v>
      </c>
      <c r="AE77" s="13" t="b">
        <v>0</v>
      </c>
      <c r="AF77" s="10" t="s">
        <v>60</v>
      </c>
      <c r="AG77" s="10" t="s">
        <v>61</v>
      </c>
      <c r="AH77" s="10" t="s">
        <v>71</v>
      </c>
    </row>
    <row r="78" spans="1:34" ht="32.1" customHeight="1" x14ac:dyDescent="0.25">
      <c r="A78" s="10" t="s">
        <v>56</v>
      </c>
      <c r="B78" s="10" t="s">
        <v>86</v>
      </c>
      <c r="C78" s="10" t="s">
        <v>58</v>
      </c>
      <c r="D78" s="10" t="s">
        <v>3</v>
      </c>
      <c r="E78" s="10" t="s">
        <v>83</v>
      </c>
      <c r="F78" s="10" t="s">
        <v>5</v>
      </c>
      <c r="G78" s="11">
        <v>4</v>
      </c>
      <c r="H78" s="11">
        <v>90</v>
      </c>
      <c r="I78" s="11">
        <v>86</v>
      </c>
      <c r="J78" s="11">
        <v>4</v>
      </c>
      <c r="K78" s="11">
        <v>0</v>
      </c>
      <c r="L78" s="12">
        <v>52.69585123279218</v>
      </c>
      <c r="M78" s="12">
        <v>39.502546424526187</v>
      </c>
      <c r="N78" s="12">
        <v>136.8688972679939</v>
      </c>
      <c r="O78" s="12">
        <v>242.34061106912941</v>
      </c>
      <c r="P78" s="12">
        <v>11.38158351288855</v>
      </c>
      <c r="Q78" s="12">
        <v>279.94223169061979</v>
      </c>
      <c r="R78" s="12">
        <v>43.724676301041718</v>
      </c>
      <c r="S78" s="12">
        <v>0.82975557426487168</v>
      </c>
      <c r="T78" s="12">
        <v>18</v>
      </c>
      <c r="U78" s="12">
        <v>5</v>
      </c>
      <c r="V78" s="12">
        <v>5</v>
      </c>
      <c r="W78" s="12">
        <v>5</v>
      </c>
      <c r="X78" s="12">
        <v>4.7777777777777777</v>
      </c>
      <c r="Y78" s="12">
        <v>4.4444444444444446</v>
      </c>
      <c r="Z78" s="12">
        <v>0</v>
      </c>
      <c r="AA78" s="12">
        <v>0</v>
      </c>
      <c r="AB78" s="11">
        <v>0</v>
      </c>
      <c r="AC78" s="12">
        <v>0</v>
      </c>
      <c r="AD78" s="11">
        <v>5</v>
      </c>
      <c r="AE78" s="13" t="b">
        <v>1</v>
      </c>
      <c r="AF78" s="10" t="s">
        <v>60</v>
      </c>
      <c r="AG78" s="10" t="s">
        <v>61</v>
      </c>
      <c r="AH78" s="12"/>
    </row>
    <row r="79" spans="1:34" ht="32.1" customHeight="1" x14ac:dyDescent="0.25">
      <c r="A79" s="10" t="s">
        <v>56</v>
      </c>
      <c r="B79" s="10" t="s">
        <v>86</v>
      </c>
      <c r="C79" s="10" t="s">
        <v>58</v>
      </c>
      <c r="D79" s="10" t="s">
        <v>3</v>
      </c>
      <c r="E79" s="10" t="s">
        <v>83</v>
      </c>
      <c r="F79" s="10" t="s">
        <v>62</v>
      </c>
      <c r="G79" s="11">
        <v>4</v>
      </c>
      <c r="H79" s="11">
        <v>9</v>
      </c>
      <c r="I79" s="11">
        <v>8</v>
      </c>
      <c r="J79" s="11">
        <v>1</v>
      </c>
      <c r="K79" s="11">
        <v>0</v>
      </c>
      <c r="L79" s="12">
        <v>163.1741701784473</v>
      </c>
      <c r="M79" s="12">
        <v>141.16562554928149</v>
      </c>
      <c r="N79" s="12">
        <v>263.04262691691628</v>
      </c>
      <c r="O79" s="12">
        <v>276.56231073587912</v>
      </c>
      <c r="P79" s="12">
        <v>107.72750662750531</v>
      </c>
      <c r="Q79" s="12">
        <v>279.94223169061979</v>
      </c>
      <c r="R79" s="12">
        <v>59.550524078184047</v>
      </c>
      <c r="S79" s="12">
        <v>0.36495067824190303</v>
      </c>
      <c r="T79" s="12">
        <v>18</v>
      </c>
      <c r="U79" s="12">
        <v>0.5</v>
      </c>
      <c r="V79" s="12">
        <v>0.5</v>
      </c>
      <c r="W79" s="12">
        <v>0.5</v>
      </c>
      <c r="X79" s="12">
        <v>0.44444444444444442</v>
      </c>
      <c r="Y79" s="12">
        <v>11.111111111111111</v>
      </c>
      <c r="Z79" s="12"/>
      <c r="AA79" s="12"/>
      <c r="AB79" s="11">
        <v>0</v>
      </c>
      <c r="AC79" s="12">
        <v>0</v>
      </c>
      <c r="AD79" s="11">
        <v>0</v>
      </c>
      <c r="AE79" s="13" t="b">
        <v>0</v>
      </c>
      <c r="AF79" s="10" t="s">
        <v>60</v>
      </c>
      <c r="AG79" s="10" t="s">
        <v>61</v>
      </c>
      <c r="AH79" s="10" t="s">
        <v>71</v>
      </c>
    </row>
    <row r="80" spans="1:34" ht="32.1" customHeight="1" x14ac:dyDescent="0.25">
      <c r="A80" s="10" t="s">
        <v>56</v>
      </c>
      <c r="B80" s="10" t="s">
        <v>86</v>
      </c>
      <c r="C80" s="10" t="s">
        <v>58</v>
      </c>
      <c r="D80" s="10" t="s">
        <v>3</v>
      </c>
      <c r="E80" s="10" t="s">
        <v>83</v>
      </c>
      <c r="F80" s="10" t="s">
        <v>63</v>
      </c>
      <c r="G80" s="11">
        <v>4</v>
      </c>
      <c r="H80" s="11">
        <v>64</v>
      </c>
      <c r="I80" s="11">
        <v>61</v>
      </c>
      <c r="J80" s="11">
        <v>3</v>
      </c>
      <c r="K80" s="11">
        <v>0</v>
      </c>
      <c r="L80" s="12">
        <v>36.468813761864183</v>
      </c>
      <c r="M80" s="12">
        <v>33.054331113890981</v>
      </c>
      <c r="N80" s="12">
        <v>59.061387599069498</v>
      </c>
      <c r="O80" s="12">
        <v>72.224860441020766</v>
      </c>
      <c r="P80" s="12">
        <v>11.38158351288855</v>
      </c>
      <c r="Q80" s="12">
        <v>72.920509382861923</v>
      </c>
      <c r="R80" s="12">
        <v>13.805636904748541</v>
      </c>
      <c r="S80" s="12">
        <v>0.37856007587461582</v>
      </c>
      <c r="T80" s="12">
        <v>18</v>
      </c>
      <c r="U80" s="12">
        <v>3.5</v>
      </c>
      <c r="V80" s="12">
        <v>3.5555555555555558</v>
      </c>
      <c r="W80" s="12">
        <v>3.5555555555555558</v>
      </c>
      <c r="X80" s="12">
        <v>3.3888888888888888</v>
      </c>
      <c r="Y80" s="12">
        <v>4.6875</v>
      </c>
      <c r="Z80" s="12"/>
      <c r="AA80" s="12"/>
      <c r="AB80" s="11">
        <v>0</v>
      </c>
      <c r="AC80" s="12">
        <v>0</v>
      </c>
      <c r="AD80" s="11">
        <v>4</v>
      </c>
      <c r="AE80" s="13" t="b">
        <v>1</v>
      </c>
      <c r="AF80" s="10" t="s">
        <v>60</v>
      </c>
      <c r="AG80" s="10" t="s">
        <v>61</v>
      </c>
      <c r="AH80" s="12"/>
    </row>
    <row r="81" spans="1:34" ht="32.1" customHeight="1" x14ac:dyDescent="0.25">
      <c r="A81" s="10" t="s">
        <v>56</v>
      </c>
      <c r="B81" s="10" t="s">
        <v>86</v>
      </c>
      <c r="C81" s="10" t="s">
        <v>58</v>
      </c>
      <c r="D81" s="10" t="s">
        <v>3</v>
      </c>
      <c r="E81" s="10" t="s">
        <v>83</v>
      </c>
      <c r="F81" s="10" t="s">
        <v>64</v>
      </c>
      <c r="G81" s="11">
        <v>4</v>
      </c>
      <c r="H81" s="11">
        <v>17</v>
      </c>
      <c r="I81" s="11">
        <v>17</v>
      </c>
      <c r="J81" s="11">
        <v>0</v>
      </c>
      <c r="K81" s="11">
        <v>0</v>
      </c>
      <c r="L81" s="12">
        <v>55.297352857997787</v>
      </c>
      <c r="M81" s="12">
        <v>57.747291847765361</v>
      </c>
      <c r="N81" s="12">
        <v>74.574357227473413</v>
      </c>
      <c r="O81" s="12">
        <v>76.480789940365469</v>
      </c>
      <c r="P81" s="12">
        <v>33.314609657173797</v>
      </c>
      <c r="Q81" s="12">
        <v>76.957398118588486</v>
      </c>
      <c r="R81" s="12">
        <v>13.60219052360392</v>
      </c>
      <c r="S81" s="12">
        <v>0.24598267042789559</v>
      </c>
      <c r="T81" s="12">
        <v>18</v>
      </c>
      <c r="U81" s="12">
        <v>1</v>
      </c>
      <c r="V81" s="12">
        <v>0.94444444444444442</v>
      </c>
      <c r="W81" s="12">
        <v>0.94444444444444442</v>
      </c>
      <c r="X81" s="12">
        <v>0.94444444444444442</v>
      </c>
      <c r="Y81" s="12">
        <v>0</v>
      </c>
      <c r="Z81" s="12"/>
      <c r="AA81" s="12"/>
      <c r="AB81" s="11">
        <v>0</v>
      </c>
      <c r="AC81" s="12">
        <v>0</v>
      </c>
      <c r="AD81" s="11">
        <v>1</v>
      </c>
      <c r="AE81" s="13" t="b">
        <v>0</v>
      </c>
      <c r="AF81" s="10" t="s">
        <v>60</v>
      </c>
      <c r="AG81" s="10" t="s">
        <v>61</v>
      </c>
      <c r="AH81" s="10" t="s">
        <v>71</v>
      </c>
    </row>
    <row r="82" spans="1:34" ht="32.1" customHeight="1" x14ac:dyDescent="0.25">
      <c r="A82" s="10" t="s">
        <v>56</v>
      </c>
      <c r="B82" s="10" t="s">
        <v>87</v>
      </c>
      <c r="C82" s="10" t="s">
        <v>58</v>
      </c>
      <c r="D82" s="10" t="s">
        <v>3</v>
      </c>
      <c r="E82" s="10" t="s">
        <v>83</v>
      </c>
      <c r="F82" s="10" t="s">
        <v>5</v>
      </c>
      <c r="G82" s="11">
        <v>5</v>
      </c>
      <c r="H82" s="11">
        <v>90</v>
      </c>
      <c r="I82" s="11">
        <v>88</v>
      </c>
      <c r="J82" s="11">
        <v>2</v>
      </c>
      <c r="K82" s="11">
        <v>0</v>
      </c>
      <c r="L82" s="12">
        <v>49.271861680265197</v>
      </c>
      <c r="M82" s="12">
        <v>38.243047010865141</v>
      </c>
      <c r="N82" s="12">
        <v>131.1076617426026</v>
      </c>
      <c r="O82" s="12">
        <v>149.5998454037294</v>
      </c>
      <c r="P82" s="12">
        <v>13.84165433258811</v>
      </c>
      <c r="Q82" s="12">
        <v>169.3516887291982</v>
      </c>
      <c r="R82" s="12">
        <v>34.529693371373142</v>
      </c>
      <c r="S82" s="12">
        <v>0.7007994460498187</v>
      </c>
      <c r="T82" s="12">
        <v>18</v>
      </c>
      <c r="U82" s="12">
        <v>5</v>
      </c>
      <c r="V82" s="12">
        <v>5</v>
      </c>
      <c r="W82" s="12">
        <v>5</v>
      </c>
      <c r="X82" s="12">
        <v>4.8888888888888893</v>
      </c>
      <c r="Y82" s="12">
        <v>2.2222222222222219</v>
      </c>
      <c r="Z82" s="12">
        <v>0</v>
      </c>
      <c r="AA82" s="12">
        <v>0</v>
      </c>
      <c r="AB82" s="11">
        <v>0</v>
      </c>
      <c r="AC82" s="12">
        <v>0</v>
      </c>
      <c r="AD82" s="11">
        <v>3</v>
      </c>
      <c r="AE82" s="13" t="b">
        <v>1</v>
      </c>
      <c r="AF82" s="10" t="s">
        <v>60</v>
      </c>
      <c r="AG82" s="10" t="s">
        <v>61</v>
      </c>
      <c r="AH82" s="12"/>
    </row>
    <row r="83" spans="1:34" ht="32.1" customHeight="1" x14ac:dyDescent="0.25">
      <c r="A83" s="10" t="s">
        <v>56</v>
      </c>
      <c r="B83" s="10" t="s">
        <v>87</v>
      </c>
      <c r="C83" s="10" t="s">
        <v>58</v>
      </c>
      <c r="D83" s="10" t="s">
        <v>3</v>
      </c>
      <c r="E83" s="10" t="s">
        <v>83</v>
      </c>
      <c r="F83" s="10" t="s">
        <v>62</v>
      </c>
      <c r="G83" s="11">
        <v>5</v>
      </c>
      <c r="H83" s="11">
        <v>13</v>
      </c>
      <c r="I83" s="11">
        <v>13</v>
      </c>
      <c r="J83" s="11">
        <v>0</v>
      </c>
      <c r="K83" s="11">
        <v>0</v>
      </c>
      <c r="L83" s="12">
        <v>117.560715027654</v>
      </c>
      <c r="M83" s="12">
        <v>119.2020061720537</v>
      </c>
      <c r="N83" s="12">
        <v>156.03583929629789</v>
      </c>
      <c r="O83" s="12">
        <v>166.68851884261809</v>
      </c>
      <c r="P83" s="12">
        <v>68.897120335188646</v>
      </c>
      <c r="Q83" s="12">
        <v>169.3516887291982</v>
      </c>
      <c r="R83" s="12">
        <v>30.6531193935826</v>
      </c>
      <c r="S83" s="12">
        <v>0.26074287985039901</v>
      </c>
      <c r="T83" s="12">
        <v>18</v>
      </c>
      <c r="U83" s="12">
        <v>0.5</v>
      </c>
      <c r="V83" s="12">
        <v>0.72222222222222221</v>
      </c>
      <c r="W83" s="12">
        <v>0.72222222222222221</v>
      </c>
      <c r="X83" s="12">
        <v>0.72222222222222221</v>
      </c>
      <c r="Y83" s="12">
        <v>0</v>
      </c>
      <c r="Z83" s="12"/>
      <c r="AA83" s="12"/>
      <c r="AB83" s="11">
        <v>0</v>
      </c>
      <c r="AC83" s="12">
        <v>0</v>
      </c>
      <c r="AD83" s="11">
        <v>0</v>
      </c>
      <c r="AE83" s="13" t="b">
        <v>0</v>
      </c>
      <c r="AF83" s="10" t="s">
        <v>60</v>
      </c>
      <c r="AG83" s="10" t="s">
        <v>61</v>
      </c>
      <c r="AH83" s="10" t="s">
        <v>71</v>
      </c>
    </row>
    <row r="84" spans="1:34" ht="32.1" customHeight="1" x14ac:dyDescent="0.25">
      <c r="A84" s="10" t="s">
        <v>56</v>
      </c>
      <c r="B84" s="10" t="s">
        <v>87</v>
      </c>
      <c r="C84" s="10" t="s">
        <v>58</v>
      </c>
      <c r="D84" s="10" t="s">
        <v>3</v>
      </c>
      <c r="E84" s="10" t="s">
        <v>83</v>
      </c>
      <c r="F84" s="10" t="s">
        <v>63</v>
      </c>
      <c r="G84" s="11">
        <v>5</v>
      </c>
      <c r="H84" s="11">
        <v>62</v>
      </c>
      <c r="I84" s="11">
        <v>60</v>
      </c>
      <c r="J84" s="11">
        <v>2</v>
      </c>
      <c r="K84" s="11">
        <v>0</v>
      </c>
      <c r="L84" s="12">
        <v>34.056149356664719</v>
      </c>
      <c r="M84" s="12">
        <v>31.676130355114271</v>
      </c>
      <c r="N84" s="12">
        <v>55.537301246296003</v>
      </c>
      <c r="O84" s="12">
        <v>62.264036815523497</v>
      </c>
      <c r="P84" s="12">
        <v>13.84165433258811</v>
      </c>
      <c r="Q84" s="12">
        <v>68.339289238959495</v>
      </c>
      <c r="R84" s="12">
        <v>12.439538933196051</v>
      </c>
      <c r="S84" s="12">
        <v>0.36526557371236268</v>
      </c>
      <c r="T84" s="12">
        <v>18</v>
      </c>
      <c r="U84" s="12">
        <v>3.5</v>
      </c>
      <c r="V84" s="12">
        <v>3.4444444444444451</v>
      </c>
      <c r="W84" s="12">
        <v>3.4444444444444451</v>
      </c>
      <c r="X84" s="12">
        <v>3.333333333333333</v>
      </c>
      <c r="Y84" s="12">
        <v>3.225806451612903</v>
      </c>
      <c r="Z84" s="12"/>
      <c r="AA84" s="12"/>
      <c r="AB84" s="11">
        <v>0</v>
      </c>
      <c r="AC84" s="12">
        <v>0</v>
      </c>
      <c r="AD84" s="11">
        <v>3</v>
      </c>
      <c r="AE84" s="13" t="b">
        <v>1</v>
      </c>
      <c r="AF84" s="10" t="s">
        <v>60</v>
      </c>
      <c r="AG84" s="10" t="s">
        <v>61</v>
      </c>
      <c r="AH84" s="12"/>
    </row>
    <row r="85" spans="1:34" ht="32.1" customHeight="1" x14ac:dyDescent="0.25">
      <c r="A85" s="10" t="s">
        <v>56</v>
      </c>
      <c r="B85" s="10" t="s">
        <v>87</v>
      </c>
      <c r="C85" s="10" t="s">
        <v>58</v>
      </c>
      <c r="D85" s="10" t="s">
        <v>3</v>
      </c>
      <c r="E85" s="10" t="s">
        <v>83</v>
      </c>
      <c r="F85" s="10" t="s">
        <v>64</v>
      </c>
      <c r="G85" s="11">
        <v>5</v>
      </c>
      <c r="H85" s="11">
        <v>15</v>
      </c>
      <c r="I85" s="11">
        <v>15</v>
      </c>
      <c r="J85" s="11">
        <v>0</v>
      </c>
      <c r="K85" s="11">
        <v>0</v>
      </c>
      <c r="L85" s="12">
        <v>52.97979971674355</v>
      </c>
      <c r="M85" s="12">
        <v>44.277879121067294</v>
      </c>
      <c r="N85" s="12">
        <v>100.1176812807328</v>
      </c>
      <c r="O85" s="12">
        <v>114.14886512185041</v>
      </c>
      <c r="P85" s="12">
        <v>26.305222403364649</v>
      </c>
      <c r="Q85" s="12">
        <v>117.6566610821298</v>
      </c>
      <c r="R85" s="12">
        <v>27.013120502732772</v>
      </c>
      <c r="S85" s="12">
        <v>0.50987585168608396</v>
      </c>
      <c r="T85" s="12">
        <v>18</v>
      </c>
      <c r="U85" s="12">
        <v>1</v>
      </c>
      <c r="V85" s="12">
        <v>0.83333333333333337</v>
      </c>
      <c r="W85" s="12">
        <v>0.83333333333333337</v>
      </c>
      <c r="X85" s="12">
        <v>0.83333333333333337</v>
      </c>
      <c r="Y85" s="12">
        <v>0</v>
      </c>
      <c r="Z85" s="12"/>
      <c r="AA85" s="12"/>
      <c r="AB85" s="11">
        <v>0</v>
      </c>
      <c r="AC85" s="12">
        <v>0</v>
      </c>
      <c r="AD85" s="11">
        <v>0</v>
      </c>
      <c r="AE85" s="13" t="b">
        <v>0</v>
      </c>
      <c r="AF85" s="10" t="s">
        <v>60</v>
      </c>
      <c r="AG85" s="10" t="s">
        <v>61</v>
      </c>
      <c r="AH85" s="10" t="s">
        <v>71</v>
      </c>
    </row>
    <row r="86" spans="1:34" ht="32.1" customHeight="1" x14ac:dyDescent="0.25">
      <c r="A86" s="10" t="s">
        <v>56</v>
      </c>
      <c r="B86" s="10" t="s">
        <v>88</v>
      </c>
      <c r="C86" s="10" t="s">
        <v>58</v>
      </c>
      <c r="D86" s="10" t="s">
        <v>3</v>
      </c>
      <c r="E86" s="10" t="s">
        <v>4</v>
      </c>
      <c r="F86" s="10" t="s">
        <v>5</v>
      </c>
      <c r="G86" s="11">
        <v>1</v>
      </c>
      <c r="H86" s="11">
        <v>360</v>
      </c>
      <c r="I86" s="11">
        <v>356</v>
      </c>
      <c r="J86" s="11">
        <v>4</v>
      </c>
      <c r="K86" s="11">
        <v>0</v>
      </c>
      <c r="L86" s="12">
        <v>58.485642757518903</v>
      </c>
      <c r="M86" s="12">
        <v>47.334408208162571</v>
      </c>
      <c r="N86" s="12">
        <v>135.6100453156954</v>
      </c>
      <c r="O86" s="12">
        <v>200.4480476523608</v>
      </c>
      <c r="P86" s="12">
        <v>15.58819548270702</v>
      </c>
      <c r="Q86" s="12">
        <v>455.16879738218807</v>
      </c>
      <c r="R86" s="12">
        <v>41.639384587614039</v>
      </c>
      <c r="S86" s="12">
        <v>0.71195908302231814</v>
      </c>
      <c r="T86" s="12">
        <v>18</v>
      </c>
      <c r="U86" s="12">
        <v>20</v>
      </c>
      <c r="V86" s="12">
        <v>20</v>
      </c>
      <c r="W86" s="12">
        <v>20</v>
      </c>
      <c r="X86" s="12">
        <v>19.777777777777779</v>
      </c>
      <c r="Y86" s="12">
        <v>1.1111111111111109</v>
      </c>
      <c r="Z86" s="12">
        <v>0</v>
      </c>
      <c r="AA86" s="12">
        <v>0</v>
      </c>
      <c r="AB86" s="11">
        <v>0</v>
      </c>
      <c r="AC86" s="12">
        <v>0</v>
      </c>
      <c r="AD86" s="11">
        <v>16</v>
      </c>
      <c r="AE86" s="13" t="b">
        <v>1</v>
      </c>
      <c r="AF86" s="10" t="s">
        <v>60</v>
      </c>
      <c r="AG86" s="10" t="s">
        <v>61</v>
      </c>
      <c r="AH86" s="12"/>
    </row>
    <row r="87" spans="1:34" ht="32.1" customHeight="1" x14ac:dyDescent="0.25">
      <c r="A87" s="10" t="s">
        <v>56</v>
      </c>
      <c r="B87" s="10" t="s">
        <v>88</v>
      </c>
      <c r="C87" s="10" t="s">
        <v>58</v>
      </c>
      <c r="D87" s="10" t="s">
        <v>3</v>
      </c>
      <c r="E87" s="10" t="s">
        <v>4</v>
      </c>
      <c r="F87" s="10" t="s">
        <v>62</v>
      </c>
      <c r="G87" s="11">
        <v>1</v>
      </c>
      <c r="H87" s="11">
        <v>36</v>
      </c>
      <c r="I87" s="11">
        <v>36</v>
      </c>
      <c r="J87" s="11">
        <v>0</v>
      </c>
      <c r="K87" s="11">
        <v>0</v>
      </c>
      <c r="L87" s="12">
        <v>135.24920792434361</v>
      </c>
      <c r="M87" s="12">
        <v>133.17465639763799</v>
      </c>
      <c r="N87" s="12">
        <v>216.38905991156301</v>
      </c>
      <c r="O87" s="12">
        <v>253.63321978603591</v>
      </c>
      <c r="P87" s="12">
        <v>48.583808754649539</v>
      </c>
      <c r="Q87" s="12">
        <v>256.45266605514018</v>
      </c>
      <c r="R87" s="12">
        <v>45.968994258099087</v>
      </c>
      <c r="S87" s="12">
        <v>0.33988364858900671</v>
      </c>
      <c r="T87" s="12">
        <v>18</v>
      </c>
      <c r="U87" s="12">
        <v>2</v>
      </c>
      <c r="V87" s="12">
        <v>2</v>
      </c>
      <c r="W87" s="12">
        <v>2</v>
      </c>
      <c r="X87" s="12">
        <v>2</v>
      </c>
      <c r="Y87" s="12">
        <v>0</v>
      </c>
      <c r="Z87" s="12"/>
      <c r="AA87" s="12"/>
      <c r="AB87" s="11">
        <v>0</v>
      </c>
      <c r="AC87" s="12">
        <v>0</v>
      </c>
      <c r="AD87" s="11">
        <v>0</v>
      </c>
      <c r="AE87" s="13" t="b">
        <v>1</v>
      </c>
      <c r="AF87" s="10" t="s">
        <v>60</v>
      </c>
      <c r="AG87" s="10" t="s">
        <v>61</v>
      </c>
      <c r="AH87" s="12"/>
    </row>
    <row r="88" spans="1:34" ht="32.1" customHeight="1" x14ac:dyDescent="0.25">
      <c r="A88" s="10" t="s">
        <v>56</v>
      </c>
      <c r="B88" s="10" t="s">
        <v>88</v>
      </c>
      <c r="C88" s="10" t="s">
        <v>58</v>
      </c>
      <c r="D88" s="10" t="s">
        <v>3</v>
      </c>
      <c r="E88" s="10" t="s">
        <v>4</v>
      </c>
      <c r="F88" s="10" t="s">
        <v>63</v>
      </c>
      <c r="G88" s="11">
        <v>1</v>
      </c>
      <c r="H88" s="11">
        <v>247</v>
      </c>
      <c r="I88" s="11">
        <v>245</v>
      </c>
      <c r="J88" s="11">
        <v>2</v>
      </c>
      <c r="K88" s="11">
        <v>0</v>
      </c>
      <c r="L88" s="12">
        <v>44.970044168515457</v>
      </c>
      <c r="M88" s="12">
        <v>39.525703088277851</v>
      </c>
      <c r="N88" s="12">
        <v>81.812332388125981</v>
      </c>
      <c r="O88" s="12">
        <v>101.0412425073028</v>
      </c>
      <c r="P88" s="12">
        <v>15.58819548270702</v>
      </c>
      <c r="Q88" s="12">
        <v>455.16879738218807</v>
      </c>
      <c r="R88" s="12">
        <v>31.455541797293488</v>
      </c>
      <c r="S88" s="12">
        <v>0.69947767183462606</v>
      </c>
      <c r="T88" s="12">
        <v>18</v>
      </c>
      <c r="U88" s="12">
        <v>14</v>
      </c>
      <c r="V88" s="12">
        <v>13.72222222222222</v>
      </c>
      <c r="W88" s="12">
        <v>13.72222222222222</v>
      </c>
      <c r="X88" s="12">
        <v>13.611111111111111</v>
      </c>
      <c r="Y88" s="12">
        <v>0.80971659919028338</v>
      </c>
      <c r="Z88" s="12"/>
      <c r="AA88" s="12"/>
      <c r="AB88" s="11">
        <v>0</v>
      </c>
      <c r="AC88" s="12">
        <v>0</v>
      </c>
      <c r="AD88" s="11">
        <v>9</v>
      </c>
      <c r="AE88" s="13" t="b">
        <v>1</v>
      </c>
      <c r="AF88" s="10" t="s">
        <v>60</v>
      </c>
      <c r="AG88" s="10" t="s">
        <v>61</v>
      </c>
      <c r="AH88" s="12"/>
    </row>
    <row r="89" spans="1:34" ht="32.1" customHeight="1" x14ac:dyDescent="0.25">
      <c r="A89" s="10" t="s">
        <v>56</v>
      </c>
      <c r="B89" s="10" t="s">
        <v>88</v>
      </c>
      <c r="C89" s="10" t="s">
        <v>58</v>
      </c>
      <c r="D89" s="10" t="s">
        <v>3</v>
      </c>
      <c r="E89" s="10" t="s">
        <v>4</v>
      </c>
      <c r="F89" s="10" t="s">
        <v>64</v>
      </c>
      <c r="G89" s="11">
        <v>1</v>
      </c>
      <c r="H89" s="11">
        <v>77</v>
      </c>
      <c r="I89" s="11">
        <v>75</v>
      </c>
      <c r="J89" s="11">
        <v>2</v>
      </c>
      <c r="K89" s="11">
        <v>0</v>
      </c>
      <c r="L89" s="12">
        <v>65.951415555936592</v>
      </c>
      <c r="M89" s="12">
        <v>63.67116917963655</v>
      </c>
      <c r="N89" s="12">
        <v>99.104844038501284</v>
      </c>
      <c r="O89" s="12">
        <v>150.14659340957479</v>
      </c>
      <c r="P89" s="12">
        <v>27.23912962263465</v>
      </c>
      <c r="Q89" s="12">
        <v>150.44532066947829</v>
      </c>
      <c r="R89" s="12">
        <v>23.934102640259269</v>
      </c>
      <c r="S89" s="12">
        <v>0.36290506334863409</v>
      </c>
      <c r="T89" s="12">
        <v>18</v>
      </c>
      <c r="U89" s="12">
        <v>4</v>
      </c>
      <c r="V89" s="12">
        <v>4.2777777777777777</v>
      </c>
      <c r="W89" s="12">
        <v>4.2777777777777777</v>
      </c>
      <c r="X89" s="12">
        <v>4.166666666666667</v>
      </c>
      <c r="Y89" s="12">
        <v>2.5974025974025969</v>
      </c>
      <c r="Z89" s="12"/>
      <c r="AA89" s="12"/>
      <c r="AB89" s="11">
        <v>0</v>
      </c>
      <c r="AC89" s="12">
        <v>0</v>
      </c>
      <c r="AD89" s="11">
        <v>7</v>
      </c>
      <c r="AE89" s="13" t="b">
        <v>1</v>
      </c>
      <c r="AF89" s="10" t="s">
        <v>60</v>
      </c>
      <c r="AG89" s="10" t="s">
        <v>61</v>
      </c>
      <c r="AH89" s="12"/>
    </row>
    <row r="90" spans="1:34" ht="32.1" customHeight="1" x14ac:dyDescent="0.25">
      <c r="A90" s="10" t="s">
        <v>56</v>
      </c>
      <c r="B90" s="10" t="s">
        <v>89</v>
      </c>
      <c r="C90" s="10" t="s">
        <v>58</v>
      </c>
      <c r="D90" s="10" t="s">
        <v>3</v>
      </c>
      <c r="E90" s="10" t="s">
        <v>4</v>
      </c>
      <c r="F90" s="10" t="s">
        <v>5</v>
      </c>
      <c r="G90" s="11">
        <v>2</v>
      </c>
      <c r="H90" s="11">
        <v>360</v>
      </c>
      <c r="I90" s="11">
        <v>353</v>
      </c>
      <c r="J90" s="11">
        <v>7</v>
      </c>
      <c r="K90" s="11">
        <v>0</v>
      </c>
      <c r="L90" s="12">
        <v>46.880435792864922</v>
      </c>
      <c r="M90" s="12">
        <v>39.286496925968962</v>
      </c>
      <c r="N90" s="12">
        <v>113.9499155717517</v>
      </c>
      <c r="O90" s="12">
        <v>167.54527094461801</v>
      </c>
      <c r="P90" s="12">
        <v>12.01137976211303</v>
      </c>
      <c r="Q90" s="12">
        <v>227.0833374856243</v>
      </c>
      <c r="R90" s="12">
        <v>29.84499378029702</v>
      </c>
      <c r="S90" s="12">
        <v>0.63661937598368812</v>
      </c>
      <c r="T90" s="12">
        <v>18</v>
      </c>
      <c r="U90" s="12">
        <v>20</v>
      </c>
      <c r="V90" s="12">
        <v>20</v>
      </c>
      <c r="W90" s="12">
        <v>20</v>
      </c>
      <c r="X90" s="12">
        <v>19.611111111111111</v>
      </c>
      <c r="Y90" s="12">
        <v>1.944444444444444</v>
      </c>
      <c r="Z90" s="12">
        <v>0</v>
      </c>
      <c r="AA90" s="12">
        <v>0</v>
      </c>
      <c r="AB90" s="11">
        <v>0</v>
      </c>
      <c r="AC90" s="12">
        <v>0</v>
      </c>
      <c r="AD90" s="11">
        <v>23</v>
      </c>
      <c r="AE90" s="13" t="b">
        <v>1</v>
      </c>
      <c r="AF90" s="10" t="s">
        <v>60</v>
      </c>
      <c r="AG90" s="10" t="s">
        <v>61</v>
      </c>
      <c r="AH90" s="12"/>
    </row>
    <row r="91" spans="1:34" ht="32.1" customHeight="1" x14ac:dyDescent="0.25">
      <c r="A91" s="10" t="s">
        <v>56</v>
      </c>
      <c r="B91" s="10" t="s">
        <v>89</v>
      </c>
      <c r="C91" s="10" t="s">
        <v>58</v>
      </c>
      <c r="D91" s="10" t="s">
        <v>3</v>
      </c>
      <c r="E91" s="10" t="s">
        <v>4</v>
      </c>
      <c r="F91" s="10" t="s">
        <v>62</v>
      </c>
      <c r="G91" s="11">
        <v>2</v>
      </c>
      <c r="H91" s="11">
        <v>35</v>
      </c>
      <c r="I91" s="11">
        <v>35</v>
      </c>
      <c r="J91" s="11">
        <v>0</v>
      </c>
      <c r="K91" s="11">
        <v>0</v>
      </c>
      <c r="L91" s="12">
        <v>111.48340509307759</v>
      </c>
      <c r="M91" s="12">
        <v>106.09898967377831</v>
      </c>
      <c r="N91" s="12">
        <v>181.47173766035689</v>
      </c>
      <c r="O91" s="12">
        <v>217.22968844718309</v>
      </c>
      <c r="P91" s="12">
        <v>42.574950047060703</v>
      </c>
      <c r="Q91" s="12">
        <v>227.0833374856243</v>
      </c>
      <c r="R91" s="12">
        <v>42.006604702595382</v>
      </c>
      <c r="S91" s="12">
        <v>0.3767969292606736</v>
      </c>
      <c r="T91" s="12">
        <v>18</v>
      </c>
      <c r="U91" s="12">
        <v>2</v>
      </c>
      <c r="V91" s="12">
        <v>1.944444444444444</v>
      </c>
      <c r="W91" s="12">
        <v>1.944444444444444</v>
      </c>
      <c r="X91" s="12">
        <v>1.944444444444444</v>
      </c>
      <c r="Y91" s="12">
        <v>0</v>
      </c>
      <c r="Z91" s="12"/>
      <c r="AA91" s="12"/>
      <c r="AB91" s="11">
        <v>0</v>
      </c>
      <c r="AC91" s="12">
        <v>0</v>
      </c>
      <c r="AD91" s="11">
        <v>1</v>
      </c>
      <c r="AE91" s="13" t="b">
        <v>1</v>
      </c>
      <c r="AF91" s="10" t="s">
        <v>60</v>
      </c>
      <c r="AG91" s="10" t="s">
        <v>61</v>
      </c>
      <c r="AH91" s="12"/>
    </row>
    <row r="92" spans="1:34" ht="32.1" customHeight="1" x14ac:dyDescent="0.25">
      <c r="A92" s="10" t="s">
        <v>56</v>
      </c>
      <c r="B92" s="10" t="s">
        <v>89</v>
      </c>
      <c r="C92" s="10" t="s">
        <v>58</v>
      </c>
      <c r="D92" s="10" t="s">
        <v>3</v>
      </c>
      <c r="E92" s="10" t="s">
        <v>4</v>
      </c>
      <c r="F92" s="10" t="s">
        <v>63</v>
      </c>
      <c r="G92" s="11">
        <v>2</v>
      </c>
      <c r="H92" s="11">
        <v>256</v>
      </c>
      <c r="I92" s="11">
        <v>251</v>
      </c>
      <c r="J92" s="11">
        <v>5</v>
      </c>
      <c r="K92" s="11">
        <v>0</v>
      </c>
      <c r="L92" s="12">
        <v>36.447427285499231</v>
      </c>
      <c r="M92" s="12">
        <v>34.513923517319299</v>
      </c>
      <c r="N92" s="12">
        <v>58.914183440953963</v>
      </c>
      <c r="O92" s="12">
        <v>71.662803120384709</v>
      </c>
      <c r="P92" s="12">
        <v>12.01137976211303</v>
      </c>
      <c r="Q92" s="12">
        <v>113.8608693598584</v>
      </c>
      <c r="R92" s="12">
        <v>13.465396736952551</v>
      </c>
      <c r="S92" s="12">
        <v>0.36944711162946259</v>
      </c>
      <c r="T92" s="12">
        <v>18</v>
      </c>
      <c r="U92" s="12">
        <v>14</v>
      </c>
      <c r="V92" s="12">
        <v>14.22222222222222</v>
      </c>
      <c r="W92" s="12">
        <v>14.22222222222222</v>
      </c>
      <c r="X92" s="12">
        <v>13.944444444444439</v>
      </c>
      <c r="Y92" s="12">
        <v>1.953125</v>
      </c>
      <c r="Z92" s="12"/>
      <c r="AA92" s="12"/>
      <c r="AB92" s="11">
        <v>0</v>
      </c>
      <c r="AC92" s="12">
        <v>0</v>
      </c>
      <c r="AD92" s="11">
        <v>20</v>
      </c>
      <c r="AE92" s="13" t="b">
        <v>1</v>
      </c>
      <c r="AF92" s="10" t="s">
        <v>60</v>
      </c>
      <c r="AG92" s="10" t="s">
        <v>61</v>
      </c>
      <c r="AH92" s="12"/>
    </row>
    <row r="93" spans="1:34" ht="32.1" customHeight="1" x14ac:dyDescent="0.25">
      <c r="A93" s="10" t="s">
        <v>56</v>
      </c>
      <c r="B93" s="10" t="s">
        <v>89</v>
      </c>
      <c r="C93" s="10" t="s">
        <v>58</v>
      </c>
      <c r="D93" s="10" t="s">
        <v>3</v>
      </c>
      <c r="E93" s="10" t="s">
        <v>4</v>
      </c>
      <c r="F93" s="10" t="s">
        <v>64</v>
      </c>
      <c r="G93" s="11">
        <v>2</v>
      </c>
      <c r="H93" s="11">
        <v>69</v>
      </c>
      <c r="I93" s="11">
        <v>67</v>
      </c>
      <c r="J93" s="11">
        <v>2</v>
      </c>
      <c r="K93" s="11">
        <v>0</v>
      </c>
      <c r="L93" s="12">
        <v>52.818787276606557</v>
      </c>
      <c r="M93" s="12">
        <v>47.563699739495867</v>
      </c>
      <c r="N93" s="12">
        <v>94.134563331055958</v>
      </c>
      <c r="O93" s="12">
        <v>111.8552012842064</v>
      </c>
      <c r="P93" s="12">
        <v>21.42090579389874</v>
      </c>
      <c r="Q93" s="12">
        <v>131.25652161046901</v>
      </c>
      <c r="R93" s="12">
        <v>23.378870530775188</v>
      </c>
      <c r="S93" s="12">
        <v>0.44262414447992621</v>
      </c>
      <c r="T93" s="12">
        <v>18</v>
      </c>
      <c r="U93" s="12">
        <v>4</v>
      </c>
      <c r="V93" s="12">
        <v>3.833333333333333</v>
      </c>
      <c r="W93" s="12">
        <v>3.833333333333333</v>
      </c>
      <c r="X93" s="12">
        <v>3.7222222222222219</v>
      </c>
      <c r="Y93" s="12">
        <v>2.8985507246376812</v>
      </c>
      <c r="Z93" s="12"/>
      <c r="AA93" s="12"/>
      <c r="AB93" s="11">
        <v>0</v>
      </c>
      <c r="AC93" s="12">
        <v>0</v>
      </c>
      <c r="AD93" s="11">
        <v>2</v>
      </c>
      <c r="AE93" s="13" t="b">
        <v>1</v>
      </c>
      <c r="AF93" s="10" t="s">
        <v>60</v>
      </c>
      <c r="AG93" s="10" t="s">
        <v>61</v>
      </c>
      <c r="AH93" s="12"/>
    </row>
    <row r="94" spans="1:34" ht="32.1" customHeight="1" x14ac:dyDescent="0.25">
      <c r="A94" s="10" t="s">
        <v>56</v>
      </c>
      <c r="B94" s="10" t="s">
        <v>90</v>
      </c>
      <c r="C94" s="10" t="s">
        <v>58</v>
      </c>
      <c r="D94" s="10" t="s">
        <v>3</v>
      </c>
      <c r="E94" s="10" t="s">
        <v>4</v>
      </c>
      <c r="F94" s="10" t="s">
        <v>5</v>
      </c>
      <c r="G94" s="11">
        <v>3</v>
      </c>
      <c r="H94" s="11">
        <v>360</v>
      </c>
      <c r="I94" s="11">
        <v>353</v>
      </c>
      <c r="J94" s="11">
        <v>7</v>
      </c>
      <c r="K94" s="11">
        <v>0</v>
      </c>
      <c r="L94" s="12">
        <v>41.850255456624289</v>
      </c>
      <c r="M94" s="12">
        <v>32.862612814965047</v>
      </c>
      <c r="N94" s="12">
        <v>86.152928102728865</v>
      </c>
      <c r="O94" s="12">
        <v>167.3665664076521</v>
      </c>
      <c r="P94" s="12">
        <v>13.67582436682032</v>
      </c>
      <c r="Q94" s="12">
        <v>491.34763627991691</v>
      </c>
      <c r="R94" s="12">
        <v>35.97840833285818</v>
      </c>
      <c r="S94" s="12">
        <v>0.85969387618548743</v>
      </c>
      <c r="T94" s="12">
        <v>18</v>
      </c>
      <c r="U94" s="12">
        <v>20</v>
      </c>
      <c r="V94" s="12">
        <v>20</v>
      </c>
      <c r="W94" s="12">
        <v>20</v>
      </c>
      <c r="X94" s="12">
        <v>19.611111111111111</v>
      </c>
      <c r="Y94" s="12">
        <v>1.944444444444444</v>
      </c>
      <c r="Z94" s="12">
        <v>0</v>
      </c>
      <c r="AA94" s="12">
        <v>0</v>
      </c>
      <c r="AB94" s="11">
        <v>0</v>
      </c>
      <c r="AC94" s="12">
        <v>0</v>
      </c>
      <c r="AD94" s="11">
        <v>18</v>
      </c>
      <c r="AE94" s="13" t="b">
        <v>1</v>
      </c>
      <c r="AF94" s="10" t="s">
        <v>60</v>
      </c>
      <c r="AG94" s="10" t="s">
        <v>61</v>
      </c>
      <c r="AH94" s="12"/>
    </row>
    <row r="95" spans="1:34" ht="32.1" customHeight="1" x14ac:dyDescent="0.25">
      <c r="A95" s="10" t="s">
        <v>56</v>
      </c>
      <c r="B95" s="10" t="s">
        <v>90</v>
      </c>
      <c r="C95" s="10" t="s">
        <v>58</v>
      </c>
      <c r="D95" s="10" t="s">
        <v>3</v>
      </c>
      <c r="E95" s="10" t="s">
        <v>4</v>
      </c>
      <c r="F95" s="10" t="s">
        <v>62</v>
      </c>
      <c r="G95" s="11">
        <v>3</v>
      </c>
      <c r="H95" s="11">
        <v>27</v>
      </c>
      <c r="I95" s="11">
        <v>27</v>
      </c>
      <c r="J95" s="11">
        <v>0</v>
      </c>
      <c r="K95" s="11">
        <v>0</v>
      </c>
      <c r="L95" s="12">
        <v>104.1290803653247</v>
      </c>
      <c r="M95" s="12">
        <v>87.940313322585553</v>
      </c>
      <c r="N95" s="12">
        <v>201.74616893172751</v>
      </c>
      <c r="O95" s="12">
        <v>232.95631104662289</v>
      </c>
      <c r="P95" s="12">
        <v>42.590487290815702</v>
      </c>
      <c r="Q95" s="12">
        <v>242.44372024196079</v>
      </c>
      <c r="R95" s="12">
        <v>47.456532435855081</v>
      </c>
      <c r="S95" s="12">
        <v>0.4557471579443455</v>
      </c>
      <c r="T95" s="12">
        <v>18</v>
      </c>
      <c r="U95" s="12">
        <v>2</v>
      </c>
      <c r="V95" s="12">
        <v>1.5</v>
      </c>
      <c r="W95" s="12">
        <v>1.5</v>
      </c>
      <c r="X95" s="12">
        <v>1.5</v>
      </c>
      <c r="Y95" s="12">
        <v>0</v>
      </c>
      <c r="Z95" s="12"/>
      <c r="AA95" s="12"/>
      <c r="AB95" s="11">
        <v>0</v>
      </c>
      <c r="AC95" s="12">
        <v>0</v>
      </c>
      <c r="AD95" s="11">
        <v>4</v>
      </c>
      <c r="AE95" s="13" t="b">
        <v>0</v>
      </c>
      <c r="AF95" s="10" t="s">
        <v>60</v>
      </c>
      <c r="AG95" s="10" t="s">
        <v>61</v>
      </c>
      <c r="AH95" s="10" t="s">
        <v>71</v>
      </c>
    </row>
    <row r="96" spans="1:34" ht="32.1" customHeight="1" x14ac:dyDescent="0.25">
      <c r="A96" s="10" t="s">
        <v>56</v>
      </c>
      <c r="B96" s="10" t="s">
        <v>90</v>
      </c>
      <c r="C96" s="10" t="s">
        <v>58</v>
      </c>
      <c r="D96" s="10" t="s">
        <v>3</v>
      </c>
      <c r="E96" s="10" t="s">
        <v>4</v>
      </c>
      <c r="F96" s="10" t="s">
        <v>63</v>
      </c>
      <c r="G96" s="11">
        <v>3</v>
      </c>
      <c r="H96" s="11">
        <v>270</v>
      </c>
      <c r="I96" s="11">
        <v>263</v>
      </c>
      <c r="J96" s="11">
        <v>7</v>
      </c>
      <c r="K96" s="11">
        <v>0</v>
      </c>
      <c r="L96" s="12">
        <v>34.097149518340167</v>
      </c>
      <c r="M96" s="12">
        <v>29.7439556632199</v>
      </c>
      <c r="N96" s="12">
        <v>58.356868219040777</v>
      </c>
      <c r="O96" s="12">
        <v>79.761339832040576</v>
      </c>
      <c r="P96" s="12">
        <v>13.67582436682032</v>
      </c>
      <c r="Q96" s="12">
        <v>491.34763627991691</v>
      </c>
      <c r="R96" s="12">
        <v>31.050446414564629</v>
      </c>
      <c r="S96" s="12">
        <v>0.91064639869274755</v>
      </c>
      <c r="T96" s="12">
        <v>18</v>
      </c>
      <c r="U96" s="12">
        <v>14</v>
      </c>
      <c r="V96" s="12">
        <v>15</v>
      </c>
      <c r="W96" s="12">
        <v>15</v>
      </c>
      <c r="X96" s="12">
        <v>14.611111111111111</v>
      </c>
      <c r="Y96" s="12">
        <v>2.592592592592593</v>
      </c>
      <c r="Z96" s="12"/>
      <c r="AA96" s="12"/>
      <c r="AB96" s="11">
        <v>0</v>
      </c>
      <c r="AC96" s="12">
        <v>0</v>
      </c>
      <c r="AD96" s="11">
        <v>13</v>
      </c>
      <c r="AE96" s="13" t="b">
        <v>1</v>
      </c>
      <c r="AF96" s="10" t="s">
        <v>60</v>
      </c>
      <c r="AG96" s="10" t="s">
        <v>61</v>
      </c>
      <c r="AH96" s="12"/>
    </row>
    <row r="97" spans="1:34" ht="32.1" customHeight="1" x14ac:dyDescent="0.25">
      <c r="A97" s="10" t="s">
        <v>56</v>
      </c>
      <c r="B97" s="10" t="s">
        <v>90</v>
      </c>
      <c r="C97" s="10" t="s">
        <v>58</v>
      </c>
      <c r="D97" s="10" t="s">
        <v>3</v>
      </c>
      <c r="E97" s="10" t="s">
        <v>4</v>
      </c>
      <c r="F97" s="10" t="s">
        <v>64</v>
      </c>
      <c r="G97" s="11">
        <v>3</v>
      </c>
      <c r="H97" s="11">
        <v>63</v>
      </c>
      <c r="I97" s="11">
        <v>63</v>
      </c>
      <c r="J97" s="11">
        <v>0</v>
      </c>
      <c r="K97" s="11">
        <v>0</v>
      </c>
      <c r="L97" s="12">
        <v>48.38692737411322</v>
      </c>
      <c r="M97" s="12">
        <v>44.694120527915601</v>
      </c>
      <c r="N97" s="12">
        <v>82.825483468830683</v>
      </c>
      <c r="O97" s="12">
        <v>96.569657334342622</v>
      </c>
      <c r="P97" s="12">
        <v>18.911597320255581</v>
      </c>
      <c r="Q97" s="12">
        <v>98.133415050136918</v>
      </c>
      <c r="R97" s="12">
        <v>19.32510568442417</v>
      </c>
      <c r="S97" s="12">
        <v>0.39938691570572848</v>
      </c>
      <c r="T97" s="12">
        <v>18</v>
      </c>
      <c r="U97" s="12">
        <v>4</v>
      </c>
      <c r="V97" s="12">
        <v>3.5</v>
      </c>
      <c r="W97" s="12">
        <v>3.5</v>
      </c>
      <c r="X97" s="12">
        <v>3.5</v>
      </c>
      <c r="Y97" s="12">
        <v>0</v>
      </c>
      <c r="Z97" s="12"/>
      <c r="AA97" s="12"/>
      <c r="AB97" s="11">
        <v>0</v>
      </c>
      <c r="AC97" s="12">
        <v>0</v>
      </c>
      <c r="AD97" s="11">
        <v>1</v>
      </c>
      <c r="AE97" s="13" t="b">
        <v>1</v>
      </c>
      <c r="AF97" s="10" t="s">
        <v>60</v>
      </c>
      <c r="AG97" s="10" t="s">
        <v>61</v>
      </c>
      <c r="AH97" s="12"/>
    </row>
    <row r="98" spans="1:34" ht="32.1" customHeight="1" x14ac:dyDescent="0.25">
      <c r="A98" s="10" t="s">
        <v>56</v>
      </c>
      <c r="B98" s="10" t="s">
        <v>91</v>
      </c>
      <c r="C98" s="10" t="s">
        <v>58</v>
      </c>
      <c r="D98" s="10" t="s">
        <v>3</v>
      </c>
      <c r="E98" s="10" t="s">
        <v>4</v>
      </c>
      <c r="F98" s="10" t="s">
        <v>5</v>
      </c>
      <c r="G98" s="11">
        <v>4</v>
      </c>
      <c r="H98" s="11">
        <v>360</v>
      </c>
      <c r="I98" s="11">
        <v>354</v>
      </c>
      <c r="J98" s="11">
        <v>6</v>
      </c>
      <c r="K98" s="11">
        <v>0</v>
      </c>
      <c r="L98" s="12">
        <v>40.607045338811602</v>
      </c>
      <c r="M98" s="12">
        <v>32.388164190748952</v>
      </c>
      <c r="N98" s="12">
        <v>92.638217911868125</v>
      </c>
      <c r="O98" s="12">
        <v>139.3949018411931</v>
      </c>
      <c r="P98" s="12">
        <v>10.796343299804169</v>
      </c>
      <c r="Q98" s="12">
        <v>401.79983675152391</v>
      </c>
      <c r="R98" s="12">
        <v>31.70960425193886</v>
      </c>
      <c r="S98" s="12">
        <v>0.78088922716155618</v>
      </c>
      <c r="T98" s="12">
        <v>18</v>
      </c>
      <c r="U98" s="12">
        <v>20</v>
      </c>
      <c r="V98" s="12">
        <v>20</v>
      </c>
      <c r="W98" s="12">
        <v>20</v>
      </c>
      <c r="X98" s="12">
        <v>19.666666666666671</v>
      </c>
      <c r="Y98" s="12">
        <v>1.666666666666667</v>
      </c>
      <c r="Z98" s="12">
        <v>0</v>
      </c>
      <c r="AA98" s="12">
        <v>0</v>
      </c>
      <c r="AB98" s="11">
        <v>0</v>
      </c>
      <c r="AC98" s="12">
        <v>0</v>
      </c>
      <c r="AD98" s="11">
        <v>28</v>
      </c>
      <c r="AE98" s="13" t="b">
        <v>1</v>
      </c>
      <c r="AF98" s="10" t="s">
        <v>60</v>
      </c>
      <c r="AG98" s="10" t="s">
        <v>61</v>
      </c>
      <c r="AH98" s="12"/>
    </row>
    <row r="99" spans="1:34" ht="32.1" customHeight="1" x14ac:dyDescent="0.25">
      <c r="A99" s="10" t="s">
        <v>56</v>
      </c>
      <c r="B99" s="10" t="s">
        <v>91</v>
      </c>
      <c r="C99" s="10" t="s">
        <v>58</v>
      </c>
      <c r="D99" s="10" t="s">
        <v>3</v>
      </c>
      <c r="E99" s="10" t="s">
        <v>4</v>
      </c>
      <c r="F99" s="10" t="s">
        <v>62</v>
      </c>
      <c r="G99" s="11">
        <v>4</v>
      </c>
      <c r="H99" s="11">
        <v>37</v>
      </c>
      <c r="I99" s="11">
        <v>36</v>
      </c>
      <c r="J99" s="11">
        <v>1</v>
      </c>
      <c r="K99" s="11">
        <v>0</v>
      </c>
      <c r="L99" s="12">
        <v>90.098124074265087</v>
      </c>
      <c r="M99" s="12">
        <v>82.731801177319028</v>
      </c>
      <c r="N99" s="12">
        <v>151.2261901810447</v>
      </c>
      <c r="O99" s="12">
        <v>183.3757285366633</v>
      </c>
      <c r="P99" s="12">
        <v>30.914432084033511</v>
      </c>
      <c r="Q99" s="12">
        <v>198.0138201329793</v>
      </c>
      <c r="R99" s="12">
        <v>35.193488905722823</v>
      </c>
      <c r="S99" s="12">
        <v>0.39061289307992603</v>
      </c>
      <c r="T99" s="12">
        <v>18</v>
      </c>
      <c r="U99" s="12">
        <v>2</v>
      </c>
      <c r="V99" s="12">
        <v>2.0555555555555558</v>
      </c>
      <c r="W99" s="12">
        <v>2.0555555555555558</v>
      </c>
      <c r="X99" s="12">
        <v>2</v>
      </c>
      <c r="Y99" s="12">
        <v>2.7027027027027022</v>
      </c>
      <c r="Z99" s="12"/>
      <c r="AA99" s="12"/>
      <c r="AB99" s="11">
        <v>0</v>
      </c>
      <c r="AC99" s="12">
        <v>0</v>
      </c>
      <c r="AD99" s="11">
        <v>1</v>
      </c>
      <c r="AE99" s="13" t="b">
        <v>1</v>
      </c>
      <c r="AF99" s="10" t="s">
        <v>60</v>
      </c>
      <c r="AG99" s="10" t="s">
        <v>61</v>
      </c>
      <c r="AH99" s="12"/>
    </row>
    <row r="100" spans="1:34" ht="32.1" customHeight="1" x14ac:dyDescent="0.25">
      <c r="A100" s="10" t="s">
        <v>56</v>
      </c>
      <c r="B100" s="10" t="s">
        <v>91</v>
      </c>
      <c r="C100" s="10" t="s">
        <v>58</v>
      </c>
      <c r="D100" s="10" t="s">
        <v>3</v>
      </c>
      <c r="E100" s="10" t="s">
        <v>4</v>
      </c>
      <c r="F100" s="10" t="s">
        <v>63</v>
      </c>
      <c r="G100" s="11">
        <v>4</v>
      </c>
      <c r="H100" s="11">
        <v>255</v>
      </c>
      <c r="I100" s="11">
        <v>250</v>
      </c>
      <c r="J100" s="11">
        <v>5</v>
      </c>
      <c r="K100" s="11">
        <v>0</v>
      </c>
      <c r="L100" s="12">
        <v>31.698807734480571</v>
      </c>
      <c r="M100" s="12">
        <v>28.011837551342101</v>
      </c>
      <c r="N100" s="12">
        <v>52.436575118538613</v>
      </c>
      <c r="O100" s="12">
        <v>80.030149593079983</v>
      </c>
      <c r="P100" s="12">
        <v>10.796343299804169</v>
      </c>
      <c r="Q100" s="12">
        <v>401.79983675152391</v>
      </c>
      <c r="R100" s="12">
        <v>26.534469868170909</v>
      </c>
      <c r="S100" s="12">
        <v>0.83708100602496394</v>
      </c>
      <c r="T100" s="12">
        <v>18</v>
      </c>
      <c r="U100" s="12">
        <v>14</v>
      </c>
      <c r="V100" s="12">
        <v>14.16666666666667</v>
      </c>
      <c r="W100" s="12">
        <v>14.16666666666667</v>
      </c>
      <c r="X100" s="12">
        <v>13.888888888888889</v>
      </c>
      <c r="Y100" s="12">
        <v>1.9607843137254899</v>
      </c>
      <c r="Z100" s="12"/>
      <c r="AA100" s="12"/>
      <c r="AB100" s="11">
        <v>0</v>
      </c>
      <c r="AC100" s="12">
        <v>0</v>
      </c>
      <c r="AD100" s="11">
        <v>21</v>
      </c>
      <c r="AE100" s="13" t="b">
        <v>1</v>
      </c>
      <c r="AF100" s="10" t="s">
        <v>60</v>
      </c>
      <c r="AG100" s="10" t="s">
        <v>61</v>
      </c>
      <c r="AH100" s="12"/>
    </row>
    <row r="101" spans="1:34" ht="32.1" customHeight="1" x14ac:dyDescent="0.25">
      <c r="A101" s="10" t="s">
        <v>56</v>
      </c>
      <c r="B101" s="10" t="s">
        <v>91</v>
      </c>
      <c r="C101" s="10" t="s">
        <v>58</v>
      </c>
      <c r="D101" s="10" t="s">
        <v>3</v>
      </c>
      <c r="E101" s="10" t="s">
        <v>4</v>
      </c>
      <c r="F101" s="10" t="s">
        <v>64</v>
      </c>
      <c r="G101" s="11">
        <v>4</v>
      </c>
      <c r="H101" s="11">
        <v>68</v>
      </c>
      <c r="I101" s="11">
        <v>68</v>
      </c>
      <c r="J101" s="11">
        <v>0</v>
      </c>
      <c r="K101" s="11">
        <v>0</v>
      </c>
      <c r="L101" s="12">
        <v>47.083967043115017</v>
      </c>
      <c r="M101" s="12">
        <v>44.146160321638433</v>
      </c>
      <c r="N101" s="12">
        <v>82.116405218540734</v>
      </c>
      <c r="O101" s="12">
        <v>103.0210956148146</v>
      </c>
      <c r="P101" s="12">
        <v>20.34419369894762</v>
      </c>
      <c r="Q101" s="12">
        <v>111.1661609649594</v>
      </c>
      <c r="R101" s="12">
        <v>18.860920481743008</v>
      </c>
      <c r="S101" s="12">
        <v>0.40058053019347278</v>
      </c>
      <c r="T101" s="12">
        <v>18</v>
      </c>
      <c r="U101" s="12">
        <v>4</v>
      </c>
      <c r="V101" s="12">
        <v>3.7777777777777781</v>
      </c>
      <c r="W101" s="12">
        <v>3.7777777777777781</v>
      </c>
      <c r="X101" s="12">
        <v>3.7777777777777781</v>
      </c>
      <c r="Y101" s="12">
        <v>0</v>
      </c>
      <c r="Z101" s="12"/>
      <c r="AA101" s="12"/>
      <c r="AB101" s="11">
        <v>0</v>
      </c>
      <c r="AC101" s="12">
        <v>0</v>
      </c>
      <c r="AD101" s="11">
        <v>6</v>
      </c>
      <c r="AE101" s="13" t="b">
        <v>1</v>
      </c>
      <c r="AF101" s="10" t="s">
        <v>60</v>
      </c>
      <c r="AG101" s="10" t="s">
        <v>61</v>
      </c>
      <c r="AH101" s="12"/>
    </row>
    <row r="102" spans="1:34" ht="32.1" customHeight="1" x14ac:dyDescent="0.25">
      <c r="A102" s="10" t="s">
        <v>56</v>
      </c>
      <c r="B102" s="10" t="s">
        <v>92</v>
      </c>
      <c r="C102" s="10" t="s">
        <v>58</v>
      </c>
      <c r="D102" s="10" t="s">
        <v>3</v>
      </c>
      <c r="E102" s="10" t="s">
        <v>4</v>
      </c>
      <c r="F102" s="10" t="s">
        <v>5</v>
      </c>
      <c r="G102" s="11">
        <v>5</v>
      </c>
      <c r="H102" s="11">
        <v>360</v>
      </c>
      <c r="I102" s="11">
        <v>352</v>
      </c>
      <c r="J102" s="11">
        <v>8</v>
      </c>
      <c r="K102" s="11">
        <v>0</v>
      </c>
      <c r="L102" s="12">
        <v>48.343244502798228</v>
      </c>
      <c r="M102" s="12">
        <v>36.806892674113783</v>
      </c>
      <c r="N102" s="12">
        <v>98.295329929294127</v>
      </c>
      <c r="O102" s="12">
        <v>154.155079215624</v>
      </c>
      <c r="P102" s="12">
        <v>12.194917822354061</v>
      </c>
      <c r="Q102" s="12">
        <v>1711.55340653948</v>
      </c>
      <c r="R102" s="12">
        <v>91.706774086115402</v>
      </c>
      <c r="S102" s="12">
        <v>1.8969925380330479</v>
      </c>
      <c r="T102" s="12">
        <v>18</v>
      </c>
      <c r="U102" s="12">
        <v>20</v>
      </c>
      <c r="V102" s="12">
        <v>20</v>
      </c>
      <c r="W102" s="12">
        <v>20</v>
      </c>
      <c r="X102" s="12">
        <v>19.555555555555561</v>
      </c>
      <c r="Y102" s="12">
        <v>2.2222222222222219</v>
      </c>
      <c r="Z102" s="12">
        <v>0</v>
      </c>
      <c r="AA102" s="12">
        <v>0</v>
      </c>
      <c r="AB102" s="11">
        <v>0</v>
      </c>
      <c r="AC102" s="12">
        <v>0</v>
      </c>
      <c r="AD102" s="11">
        <v>18</v>
      </c>
      <c r="AE102" s="13" t="b">
        <v>1</v>
      </c>
      <c r="AF102" s="10" t="s">
        <v>60</v>
      </c>
      <c r="AG102" s="10" t="s">
        <v>61</v>
      </c>
      <c r="AH102" s="12"/>
    </row>
    <row r="103" spans="1:34" ht="32.1" customHeight="1" x14ac:dyDescent="0.25">
      <c r="A103" s="10" t="s">
        <v>56</v>
      </c>
      <c r="B103" s="10" t="s">
        <v>92</v>
      </c>
      <c r="C103" s="10" t="s">
        <v>58</v>
      </c>
      <c r="D103" s="10" t="s">
        <v>3</v>
      </c>
      <c r="E103" s="10" t="s">
        <v>4</v>
      </c>
      <c r="F103" s="10" t="s">
        <v>62</v>
      </c>
      <c r="G103" s="11">
        <v>5</v>
      </c>
      <c r="H103" s="11">
        <v>42</v>
      </c>
      <c r="I103" s="11">
        <v>42</v>
      </c>
      <c r="J103" s="11">
        <v>0</v>
      </c>
      <c r="K103" s="11">
        <v>0</v>
      </c>
      <c r="L103" s="12">
        <v>135.19597600902779</v>
      </c>
      <c r="M103" s="12">
        <v>95.220266356869644</v>
      </c>
      <c r="N103" s="12">
        <v>162.3593503946197</v>
      </c>
      <c r="O103" s="12">
        <v>1076.652187297746</v>
      </c>
      <c r="P103" s="12">
        <v>34.0242762637195</v>
      </c>
      <c r="Q103" s="12">
        <v>1711.55340653948</v>
      </c>
      <c r="R103" s="12">
        <v>251.2429233888262</v>
      </c>
      <c r="S103" s="12">
        <v>1.8583609572229369</v>
      </c>
      <c r="T103" s="12">
        <v>18</v>
      </c>
      <c r="U103" s="12">
        <v>2</v>
      </c>
      <c r="V103" s="12">
        <v>2.333333333333333</v>
      </c>
      <c r="W103" s="12">
        <v>2.333333333333333</v>
      </c>
      <c r="X103" s="12">
        <v>2.333333333333333</v>
      </c>
      <c r="Y103" s="12">
        <v>0</v>
      </c>
      <c r="Z103" s="12"/>
      <c r="AA103" s="12"/>
      <c r="AB103" s="11">
        <v>0</v>
      </c>
      <c r="AC103" s="12">
        <v>0</v>
      </c>
      <c r="AD103" s="11">
        <v>2</v>
      </c>
      <c r="AE103" s="13" t="b">
        <v>1</v>
      </c>
      <c r="AF103" s="10" t="s">
        <v>60</v>
      </c>
      <c r="AG103" s="10" t="s">
        <v>61</v>
      </c>
      <c r="AH103" s="12"/>
    </row>
    <row r="104" spans="1:34" ht="32.1" customHeight="1" x14ac:dyDescent="0.25">
      <c r="A104" s="10" t="s">
        <v>56</v>
      </c>
      <c r="B104" s="10" t="s">
        <v>92</v>
      </c>
      <c r="C104" s="10" t="s">
        <v>58</v>
      </c>
      <c r="D104" s="10" t="s">
        <v>3</v>
      </c>
      <c r="E104" s="10" t="s">
        <v>4</v>
      </c>
      <c r="F104" s="10" t="s">
        <v>63</v>
      </c>
      <c r="G104" s="11">
        <v>5</v>
      </c>
      <c r="H104" s="11">
        <v>259</v>
      </c>
      <c r="I104" s="11">
        <v>252</v>
      </c>
      <c r="J104" s="11">
        <v>7</v>
      </c>
      <c r="K104" s="11">
        <v>0</v>
      </c>
      <c r="L104" s="12">
        <v>34.394318961258499</v>
      </c>
      <c r="M104" s="12">
        <v>32.031529556237267</v>
      </c>
      <c r="N104" s="12">
        <v>61.182211496994057</v>
      </c>
      <c r="O104" s="12">
        <v>72.472138465364409</v>
      </c>
      <c r="P104" s="12">
        <v>12.194917822354061</v>
      </c>
      <c r="Q104" s="12">
        <v>89.44252993578975</v>
      </c>
      <c r="R104" s="12">
        <v>13.493432195859681</v>
      </c>
      <c r="S104" s="12">
        <v>0.39231572548532151</v>
      </c>
      <c r="T104" s="12">
        <v>18</v>
      </c>
      <c r="U104" s="12">
        <v>14</v>
      </c>
      <c r="V104" s="12">
        <v>14.388888888888889</v>
      </c>
      <c r="W104" s="12">
        <v>14.388888888888889</v>
      </c>
      <c r="X104" s="12">
        <v>14</v>
      </c>
      <c r="Y104" s="12">
        <v>2.7027027027027022</v>
      </c>
      <c r="Z104" s="12"/>
      <c r="AA104" s="12"/>
      <c r="AB104" s="11">
        <v>0</v>
      </c>
      <c r="AC104" s="12">
        <v>0</v>
      </c>
      <c r="AD104" s="11">
        <v>15</v>
      </c>
      <c r="AE104" s="13" t="b">
        <v>1</v>
      </c>
      <c r="AF104" s="10" t="s">
        <v>60</v>
      </c>
      <c r="AG104" s="10" t="s">
        <v>61</v>
      </c>
      <c r="AH104" s="12"/>
    </row>
    <row r="105" spans="1:34" ht="32.1" customHeight="1" x14ac:dyDescent="0.25">
      <c r="A105" s="10" t="s">
        <v>56</v>
      </c>
      <c r="B105" s="10" t="s">
        <v>92</v>
      </c>
      <c r="C105" s="10" t="s">
        <v>58</v>
      </c>
      <c r="D105" s="10" t="s">
        <v>3</v>
      </c>
      <c r="E105" s="10" t="s">
        <v>4</v>
      </c>
      <c r="F105" s="10" t="s">
        <v>64</v>
      </c>
      <c r="G105" s="11">
        <v>5</v>
      </c>
      <c r="H105" s="11">
        <v>59</v>
      </c>
      <c r="I105" s="11">
        <v>58</v>
      </c>
      <c r="J105" s="11">
        <v>1</v>
      </c>
      <c r="K105" s="11">
        <v>0</v>
      </c>
      <c r="L105" s="12">
        <v>47.749295214614257</v>
      </c>
      <c r="M105" s="12">
        <v>44.227230641528983</v>
      </c>
      <c r="N105" s="12">
        <v>74.736435728797886</v>
      </c>
      <c r="O105" s="12">
        <v>93.588241160735038</v>
      </c>
      <c r="P105" s="12">
        <v>19.955440018243671</v>
      </c>
      <c r="Q105" s="12">
        <v>94.907832288966517</v>
      </c>
      <c r="R105" s="12">
        <v>17.111066051808422</v>
      </c>
      <c r="S105" s="12">
        <v>0.35835222226633762</v>
      </c>
      <c r="T105" s="12">
        <v>18</v>
      </c>
      <c r="U105" s="12">
        <v>4</v>
      </c>
      <c r="V105" s="12">
        <v>3.2777777777777781</v>
      </c>
      <c r="W105" s="12">
        <v>3.2777777777777781</v>
      </c>
      <c r="X105" s="12">
        <v>3.2222222222222219</v>
      </c>
      <c r="Y105" s="12">
        <v>1.6949152542372881</v>
      </c>
      <c r="Z105" s="12"/>
      <c r="AA105" s="12"/>
      <c r="AB105" s="11">
        <v>0</v>
      </c>
      <c r="AC105" s="12">
        <v>0</v>
      </c>
      <c r="AD105" s="11">
        <v>1</v>
      </c>
      <c r="AE105" s="13" t="b">
        <v>1</v>
      </c>
      <c r="AF105" s="10" t="s">
        <v>60</v>
      </c>
      <c r="AG105" s="10" t="s">
        <v>61</v>
      </c>
      <c r="AH105" s="12"/>
    </row>
    <row r="106" spans="1:34" ht="32.1" customHeight="1" x14ac:dyDescent="0.25">
      <c r="A106" s="10" t="s">
        <v>56</v>
      </c>
      <c r="B106" s="10" t="s">
        <v>93</v>
      </c>
      <c r="C106" s="10" t="s">
        <v>94</v>
      </c>
      <c r="D106" s="10" t="s">
        <v>59</v>
      </c>
      <c r="E106" s="10" t="s">
        <v>59</v>
      </c>
      <c r="F106" s="10" t="s">
        <v>5</v>
      </c>
      <c r="G106" s="11">
        <v>1</v>
      </c>
      <c r="H106" s="11">
        <v>830</v>
      </c>
      <c r="I106" s="11">
        <v>818</v>
      </c>
      <c r="J106" s="11">
        <v>12</v>
      </c>
      <c r="K106" s="11">
        <v>0</v>
      </c>
      <c r="L106" s="12">
        <v>98.48372831651794</v>
      </c>
      <c r="M106" s="12">
        <v>72.491077407605815</v>
      </c>
      <c r="N106" s="12">
        <v>191.9511732577337</v>
      </c>
      <c r="O106" s="12">
        <v>373.83088973294792</v>
      </c>
      <c r="P106" s="12">
        <v>18.675674881627849</v>
      </c>
      <c r="Q106" s="12">
        <v>5192.7734369923664</v>
      </c>
      <c r="R106" s="12">
        <v>195.986598079826</v>
      </c>
      <c r="S106" s="12">
        <v>1.9900403998713621</v>
      </c>
      <c r="T106" s="12">
        <v>20</v>
      </c>
      <c r="U106" s="12">
        <v>41.5</v>
      </c>
      <c r="V106" s="12">
        <v>41.5</v>
      </c>
      <c r="W106" s="12">
        <v>41.5</v>
      </c>
      <c r="X106" s="12">
        <v>40.9</v>
      </c>
      <c r="Y106" s="12">
        <v>1.44578313253012</v>
      </c>
      <c r="Z106" s="12">
        <v>0</v>
      </c>
      <c r="AA106" s="12">
        <v>0</v>
      </c>
      <c r="AB106" s="11">
        <v>0</v>
      </c>
      <c r="AC106" s="12">
        <v>0</v>
      </c>
      <c r="AD106" s="11">
        <v>57</v>
      </c>
      <c r="AE106" s="13" t="b">
        <v>1</v>
      </c>
      <c r="AF106" s="10" t="s">
        <v>60</v>
      </c>
      <c r="AG106" s="10" t="s">
        <v>61</v>
      </c>
      <c r="AH106" s="12"/>
    </row>
    <row r="107" spans="1:34" ht="32.1" customHeight="1" x14ac:dyDescent="0.25">
      <c r="A107" s="10" t="s">
        <v>56</v>
      </c>
      <c r="B107" s="10" t="s">
        <v>93</v>
      </c>
      <c r="C107" s="10" t="s">
        <v>94</v>
      </c>
      <c r="D107" s="10" t="s">
        <v>59</v>
      </c>
      <c r="E107" s="10" t="s">
        <v>59</v>
      </c>
      <c r="F107" s="10" t="s">
        <v>62</v>
      </c>
      <c r="G107" s="11">
        <v>1</v>
      </c>
      <c r="H107" s="11">
        <v>81</v>
      </c>
      <c r="I107" s="11">
        <v>80</v>
      </c>
      <c r="J107" s="11">
        <v>1</v>
      </c>
      <c r="K107" s="11">
        <v>0</v>
      </c>
      <c r="L107" s="12">
        <v>271.56846004245972</v>
      </c>
      <c r="M107" s="12">
        <v>178.5853593815562</v>
      </c>
      <c r="N107" s="12">
        <v>411.49405874739551</v>
      </c>
      <c r="O107" s="12">
        <v>1477.4243265795651</v>
      </c>
      <c r="P107" s="12">
        <v>77.095207950064676</v>
      </c>
      <c r="Q107" s="12">
        <v>5192.7734369923664</v>
      </c>
      <c r="R107" s="12">
        <v>561.90972249316587</v>
      </c>
      <c r="S107" s="12">
        <v>2.0691273294598029</v>
      </c>
      <c r="T107" s="12">
        <v>20</v>
      </c>
      <c r="U107" s="12">
        <v>4.1500000000000004</v>
      </c>
      <c r="V107" s="12">
        <v>4.05</v>
      </c>
      <c r="W107" s="12">
        <v>4.05</v>
      </c>
      <c r="X107" s="12">
        <v>4</v>
      </c>
      <c r="Y107" s="12">
        <v>1.2345679012345681</v>
      </c>
      <c r="Z107" s="12"/>
      <c r="AA107" s="12"/>
      <c r="AB107" s="11">
        <v>0</v>
      </c>
      <c r="AC107" s="12">
        <v>0</v>
      </c>
      <c r="AD107" s="11">
        <v>8</v>
      </c>
      <c r="AE107" s="13" t="b">
        <v>1</v>
      </c>
      <c r="AF107" s="10" t="s">
        <v>60</v>
      </c>
      <c r="AG107" s="10" t="s">
        <v>61</v>
      </c>
      <c r="AH107" s="12"/>
    </row>
    <row r="108" spans="1:34" ht="32.1" customHeight="1" x14ac:dyDescent="0.25">
      <c r="A108" s="10" t="s">
        <v>56</v>
      </c>
      <c r="B108" s="10" t="s">
        <v>93</v>
      </c>
      <c r="C108" s="10" t="s">
        <v>94</v>
      </c>
      <c r="D108" s="10" t="s">
        <v>59</v>
      </c>
      <c r="E108" s="10" t="s">
        <v>59</v>
      </c>
      <c r="F108" s="10" t="s">
        <v>63</v>
      </c>
      <c r="G108" s="11">
        <v>1</v>
      </c>
      <c r="H108" s="11">
        <v>568</v>
      </c>
      <c r="I108" s="11">
        <v>560</v>
      </c>
      <c r="J108" s="11">
        <v>8</v>
      </c>
      <c r="K108" s="11">
        <v>0</v>
      </c>
      <c r="L108" s="12">
        <v>69.58808701931855</v>
      </c>
      <c r="M108" s="12">
        <v>62.000663678291211</v>
      </c>
      <c r="N108" s="12">
        <v>121.81166970035549</v>
      </c>
      <c r="O108" s="12">
        <v>153.82736229401851</v>
      </c>
      <c r="P108" s="12">
        <v>18.675674881627849</v>
      </c>
      <c r="Q108" s="12">
        <v>1289.13853865746</v>
      </c>
      <c r="R108" s="12">
        <v>58.832432461587153</v>
      </c>
      <c r="S108" s="12">
        <v>0.84543827803822957</v>
      </c>
      <c r="T108" s="12">
        <v>20</v>
      </c>
      <c r="U108" s="12">
        <v>29.05</v>
      </c>
      <c r="V108" s="12">
        <v>28.4</v>
      </c>
      <c r="W108" s="12">
        <v>28.4</v>
      </c>
      <c r="X108" s="12">
        <v>28</v>
      </c>
      <c r="Y108" s="12">
        <v>1.408450704225352</v>
      </c>
      <c r="Z108" s="12"/>
      <c r="AA108" s="12"/>
      <c r="AB108" s="11">
        <v>0</v>
      </c>
      <c r="AC108" s="12">
        <v>0</v>
      </c>
      <c r="AD108" s="11">
        <v>38</v>
      </c>
      <c r="AE108" s="13" t="b">
        <v>1</v>
      </c>
      <c r="AF108" s="10" t="s">
        <v>60</v>
      </c>
      <c r="AG108" s="10" t="s">
        <v>61</v>
      </c>
      <c r="AH108" s="12"/>
    </row>
    <row r="109" spans="1:34" ht="32.1" customHeight="1" x14ac:dyDescent="0.25">
      <c r="A109" s="10" t="s">
        <v>56</v>
      </c>
      <c r="B109" s="10" t="s">
        <v>93</v>
      </c>
      <c r="C109" s="10" t="s">
        <v>94</v>
      </c>
      <c r="D109" s="10" t="s">
        <v>59</v>
      </c>
      <c r="E109" s="10" t="s">
        <v>59</v>
      </c>
      <c r="F109" s="10" t="s">
        <v>64</v>
      </c>
      <c r="G109" s="11">
        <v>1</v>
      </c>
      <c r="H109" s="11">
        <v>181</v>
      </c>
      <c r="I109" s="11">
        <v>178</v>
      </c>
      <c r="J109" s="11">
        <v>3</v>
      </c>
      <c r="K109" s="11">
        <v>0</v>
      </c>
      <c r="L109" s="12">
        <v>111.7039547640757</v>
      </c>
      <c r="M109" s="12">
        <v>100.3013564877658</v>
      </c>
      <c r="N109" s="12">
        <v>182.27480278830279</v>
      </c>
      <c r="O109" s="12">
        <v>409.26563293466012</v>
      </c>
      <c r="P109" s="12">
        <v>23.888080303620089</v>
      </c>
      <c r="Q109" s="12">
        <v>1077.1306096290141</v>
      </c>
      <c r="R109" s="12">
        <v>96.840641671621938</v>
      </c>
      <c r="S109" s="12">
        <v>0.86694013543346948</v>
      </c>
      <c r="T109" s="12">
        <v>20</v>
      </c>
      <c r="U109" s="12">
        <v>8.3000000000000007</v>
      </c>
      <c r="V109" s="12">
        <v>9.0500000000000007</v>
      </c>
      <c r="W109" s="12">
        <v>9.0500000000000007</v>
      </c>
      <c r="X109" s="12">
        <v>8.9</v>
      </c>
      <c r="Y109" s="12">
        <v>1.657458563535912</v>
      </c>
      <c r="Z109" s="12"/>
      <c r="AA109" s="12"/>
      <c r="AB109" s="11">
        <v>0</v>
      </c>
      <c r="AC109" s="12">
        <v>0</v>
      </c>
      <c r="AD109" s="11">
        <v>11</v>
      </c>
      <c r="AE109" s="13" t="b">
        <v>1</v>
      </c>
      <c r="AF109" s="10" t="s">
        <v>60</v>
      </c>
      <c r="AG109" s="10" t="s">
        <v>61</v>
      </c>
      <c r="AH109" s="12"/>
    </row>
    <row r="110" spans="1:34" ht="32.1" customHeight="1" x14ac:dyDescent="0.25">
      <c r="A110" s="10" t="s">
        <v>56</v>
      </c>
      <c r="B110" s="10" t="s">
        <v>95</v>
      </c>
      <c r="C110" s="10" t="s">
        <v>94</v>
      </c>
      <c r="D110" s="10" t="s">
        <v>59</v>
      </c>
      <c r="E110" s="10" t="s">
        <v>59</v>
      </c>
      <c r="F110" s="10" t="s">
        <v>5</v>
      </c>
      <c r="G110" s="11">
        <v>2</v>
      </c>
      <c r="H110" s="11">
        <v>830</v>
      </c>
      <c r="I110" s="11">
        <v>820</v>
      </c>
      <c r="J110" s="11">
        <v>10</v>
      </c>
      <c r="K110" s="11">
        <v>0</v>
      </c>
      <c r="L110" s="12">
        <v>81.110029240673882</v>
      </c>
      <c r="M110" s="12">
        <v>65.818011777537464</v>
      </c>
      <c r="N110" s="12">
        <v>192.86073307475439</v>
      </c>
      <c r="O110" s="12">
        <v>298.69127971851162</v>
      </c>
      <c r="P110" s="12">
        <v>14.284564662822881</v>
      </c>
      <c r="Q110" s="12">
        <v>582.3063215818853</v>
      </c>
      <c r="R110" s="12">
        <v>56.497188340533448</v>
      </c>
      <c r="S110" s="12">
        <v>0.6965499688440755</v>
      </c>
      <c r="T110" s="12">
        <v>20</v>
      </c>
      <c r="U110" s="12">
        <v>41.5</v>
      </c>
      <c r="V110" s="12">
        <v>41.5</v>
      </c>
      <c r="W110" s="12">
        <v>41.5</v>
      </c>
      <c r="X110" s="12">
        <v>41</v>
      </c>
      <c r="Y110" s="12">
        <v>1.2048192771084341</v>
      </c>
      <c r="Z110" s="12">
        <v>0</v>
      </c>
      <c r="AA110" s="12">
        <v>0</v>
      </c>
      <c r="AB110" s="11">
        <v>0</v>
      </c>
      <c r="AC110" s="12">
        <v>0</v>
      </c>
      <c r="AD110" s="11">
        <v>56</v>
      </c>
      <c r="AE110" s="13" t="b">
        <v>1</v>
      </c>
      <c r="AF110" s="10" t="s">
        <v>60</v>
      </c>
      <c r="AG110" s="10" t="s">
        <v>61</v>
      </c>
      <c r="AH110" s="12"/>
    </row>
    <row r="111" spans="1:34" ht="32.1" customHeight="1" x14ac:dyDescent="0.25">
      <c r="A111" s="10" t="s">
        <v>56</v>
      </c>
      <c r="B111" s="10" t="s">
        <v>95</v>
      </c>
      <c r="C111" s="10" t="s">
        <v>94</v>
      </c>
      <c r="D111" s="10" t="s">
        <v>59</v>
      </c>
      <c r="E111" s="10" t="s">
        <v>59</v>
      </c>
      <c r="F111" s="10" t="s">
        <v>62</v>
      </c>
      <c r="G111" s="11">
        <v>2</v>
      </c>
      <c r="H111" s="11">
        <v>85</v>
      </c>
      <c r="I111" s="11">
        <v>83</v>
      </c>
      <c r="J111" s="11">
        <v>2</v>
      </c>
      <c r="K111" s="11">
        <v>0</v>
      </c>
      <c r="L111" s="12">
        <v>196.42250468246979</v>
      </c>
      <c r="M111" s="12">
        <v>184.64091742565441</v>
      </c>
      <c r="N111" s="12">
        <v>347.33692994997278</v>
      </c>
      <c r="O111" s="12">
        <v>413.56170667077578</v>
      </c>
      <c r="P111" s="12">
        <v>67.804412995399417</v>
      </c>
      <c r="Q111" s="12">
        <v>582.3063215818853</v>
      </c>
      <c r="R111" s="12">
        <v>83.421663268671125</v>
      </c>
      <c r="S111" s="12">
        <v>0.42470522104138642</v>
      </c>
      <c r="T111" s="12">
        <v>20</v>
      </c>
      <c r="U111" s="12">
        <v>4.1500000000000004</v>
      </c>
      <c r="V111" s="12">
        <v>4.25</v>
      </c>
      <c r="W111" s="12">
        <v>4.25</v>
      </c>
      <c r="X111" s="12">
        <v>4.1500000000000004</v>
      </c>
      <c r="Y111" s="12">
        <v>2.3529411764705879</v>
      </c>
      <c r="Z111" s="12"/>
      <c r="AA111" s="12"/>
      <c r="AB111" s="11">
        <v>0</v>
      </c>
      <c r="AC111" s="12">
        <v>0</v>
      </c>
      <c r="AD111" s="11">
        <v>6</v>
      </c>
      <c r="AE111" s="13" t="b">
        <v>1</v>
      </c>
      <c r="AF111" s="10" t="s">
        <v>60</v>
      </c>
      <c r="AG111" s="10" t="s">
        <v>61</v>
      </c>
      <c r="AH111" s="12"/>
    </row>
    <row r="112" spans="1:34" ht="32.1" customHeight="1" x14ac:dyDescent="0.25">
      <c r="A112" s="10" t="s">
        <v>56</v>
      </c>
      <c r="B112" s="10" t="s">
        <v>95</v>
      </c>
      <c r="C112" s="10" t="s">
        <v>94</v>
      </c>
      <c r="D112" s="10" t="s">
        <v>59</v>
      </c>
      <c r="E112" s="10" t="s">
        <v>59</v>
      </c>
      <c r="F112" s="10" t="s">
        <v>63</v>
      </c>
      <c r="G112" s="11">
        <v>2</v>
      </c>
      <c r="H112" s="11">
        <v>578</v>
      </c>
      <c r="I112" s="11">
        <v>572</v>
      </c>
      <c r="J112" s="11">
        <v>6</v>
      </c>
      <c r="K112" s="11">
        <v>0</v>
      </c>
      <c r="L112" s="12">
        <v>62.132715368324291</v>
      </c>
      <c r="M112" s="12">
        <v>57.912294212662687</v>
      </c>
      <c r="N112" s="12">
        <v>115.7794870805745</v>
      </c>
      <c r="O112" s="12">
        <v>153.533551475481</v>
      </c>
      <c r="P112" s="12">
        <v>14.284564662822881</v>
      </c>
      <c r="Q112" s="12">
        <v>211.55998664367559</v>
      </c>
      <c r="R112" s="12">
        <v>28.597300962960851</v>
      </c>
      <c r="S112" s="12">
        <v>0.46026156741155339</v>
      </c>
      <c r="T112" s="12">
        <v>20</v>
      </c>
      <c r="U112" s="12">
        <v>29.05</v>
      </c>
      <c r="V112" s="12">
        <v>28.9</v>
      </c>
      <c r="W112" s="12">
        <v>28.9</v>
      </c>
      <c r="X112" s="12">
        <v>28.6</v>
      </c>
      <c r="Y112" s="12">
        <v>1.0380622837370239</v>
      </c>
      <c r="Z112" s="12"/>
      <c r="AA112" s="12"/>
      <c r="AB112" s="11">
        <v>0</v>
      </c>
      <c r="AC112" s="12">
        <v>0</v>
      </c>
      <c r="AD112" s="11">
        <v>35</v>
      </c>
      <c r="AE112" s="13" t="b">
        <v>1</v>
      </c>
      <c r="AF112" s="10" t="s">
        <v>60</v>
      </c>
      <c r="AG112" s="10" t="s">
        <v>61</v>
      </c>
      <c r="AH112" s="12"/>
    </row>
    <row r="113" spans="1:34" ht="32.1" customHeight="1" x14ac:dyDescent="0.25">
      <c r="A113" s="10" t="s">
        <v>56</v>
      </c>
      <c r="B113" s="10" t="s">
        <v>95</v>
      </c>
      <c r="C113" s="10" t="s">
        <v>94</v>
      </c>
      <c r="D113" s="10" t="s">
        <v>59</v>
      </c>
      <c r="E113" s="10" t="s">
        <v>59</v>
      </c>
      <c r="F113" s="10" t="s">
        <v>64</v>
      </c>
      <c r="G113" s="11">
        <v>2</v>
      </c>
      <c r="H113" s="11">
        <v>167</v>
      </c>
      <c r="I113" s="11">
        <v>165</v>
      </c>
      <c r="J113" s="11">
        <v>2</v>
      </c>
      <c r="K113" s="11">
        <v>0</v>
      </c>
      <c r="L113" s="12">
        <v>88.100011310526639</v>
      </c>
      <c r="M113" s="12">
        <v>85.383816400324591</v>
      </c>
      <c r="N113" s="12">
        <v>160.182167015202</v>
      </c>
      <c r="O113" s="12">
        <v>187.4122897450907</v>
      </c>
      <c r="P113" s="12">
        <v>19.174535978055129</v>
      </c>
      <c r="Q113" s="12">
        <v>244.88436335362161</v>
      </c>
      <c r="R113" s="12">
        <v>38.268676694272237</v>
      </c>
      <c r="S113" s="12">
        <v>0.43437765926483718</v>
      </c>
      <c r="T113" s="12">
        <v>20</v>
      </c>
      <c r="U113" s="12">
        <v>8.3000000000000007</v>
      </c>
      <c r="V113" s="12">
        <v>8.35</v>
      </c>
      <c r="W113" s="12">
        <v>8.35</v>
      </c>
      <c r="X113" s="12">
        <v>8.25</v>
      </c>
      <c r="Y113" s="12">
        <v>1.197604790419162</v>
      </c>
      <c r="Z113" s="12"/>
      <c r="AA113" s="12"/>
      <c r="AB113" s="11">
        <v>0</v>
      </c>
      <c r="AC113" s="12">
        <v>0</v>
      </c>
      <c r="AD113" s="11">
        <v>15</v>
      </c>
      <c r="AE113" s="13" t="b">
        <v>1</v>
      </c>
      <c r="AF113" s="10" t="s">
        <v>60</v>
      </c>
      <c r="AG113" s="10" t="s">
        <v>61</v>
      </c>
      <c r="AH113" s="12"/>
    </row>
    <row r="114" spans="1:34" ht="32.1" customHeight="1" x14ac:dyDescent="0.25">
      <c r="A114" s="10" t="s">
        <v>56</v>
      </c>
      <c r="B114" s="10" t="s">
        <v>96</v>
      </c>
      <c r="C114" s="10" t="s">
        <v>94</v>
      </c>
      <c r="D114" s="10" t="s">
        <v>59</v>
      </c>
      <c r="E114" s="10" t="s">
        <v>59</v>
      </c>
      <c r="F114" s="10" t="s">
        <v>5</v>
      </c>
      <c r="G114" s="11">
        <v>3</v>
      </c>
      <c r="H114" s="11">
        <v>830</v>
      </c>
      <c r="I114" s="11">
        <v>824</v>
      </c>
      <c r="J114" s="11">
        <v>6</v>
      </c>
      <c r="K114" s="11">
        <v>0</v>
      </c>
      <c r="L114" s="12">
        <v>92.919550967668087</v>
      </c>
      <c r="M114" s="12">
        <v>75.569238556751984</v>
      </c>
      <c r="N114" s="12">
        <v>224.31290561971741</v>
      </c>
      <c r="O114" s="12">
        <v>359.2744433743382</v>
      </c>
      <c r="P114" s="12">
        <v>12.57129793033784</v>
      </c>
      <c r="Q114" s="12">
        <v>666.00217618100885</v>
      </c>
      <c r="R114" s="12">
        <v>65.175427630598492</v>
      </c>
      <c r="S114" s="12">
        <v>0.70141780660645547</v>
      </c>
      <c r="T114" s="12">
        <v>20</v>
      </c>
      <c r="U114" s="12">
        <v>41.5</v>
      </c>
      <c r="V114" s="12">
        <v>41.5</v>
      </c>
      <c r="W114" s="12">
        <v>41.5</v>
      </c>
      <c r="X114" s="12">
        <v>41.2</v>
      </c>
      <c r="Y114" s="12">
        <v>0.72289156626506024</v>
      </c>
      <c r="Z114" s="12">
        <v>0</v>
      </c>
      <c r="AA114" s="12">
        <v>0</v>
      </c>
      <c r="AB114" s="11">
        <v>0</v>
      </c>
      <c r="AC114" s="12">
        <v>0</v>
      </c>
      <c r="AD114" s="11">
        <v>42</v>
      </c>
      <c r="AE114" s="13" t="b">
        <v>1</v>
      </c>
      <c r="AF114" s="10" t="s">
        <v>60</v>
      </c>
      <c r="AG114" s="10" t="s">
        <v>61</v>
      </c>
      <c r="AH114" s="12"/>
    </row>
    <row r="115" spans="1:34" ht="32.1" customHeight="1" x14ac:dyDescent="0.25">
      <c r="A115" s="10" t="s">
        <v>56</v>
      </c>
      <c r="B115" s="10" t="s">
        <v>96</v>
      </c>
      <c r="C115" s="10" t="s">
        <v>94</v>
      </c>
      <c r="D115" s="10" t="s">
        <v>59</v>
      </c>
      <c r="E115" s="10" t="s">
        <v>59</v>
      </c>
      <c r="F115" s="10" t="s">
        <v>62</v>
      </c>
      <c r="G115" s="11">
        <v>3</v>
      </c>
      <c r="H115" s="11">
        <v>82</v>
      </c>
      <c r="I115" s="11">
        <v>81</v>
      </c>
      <c r="J115" s="11">
        <v>1</v>
      </c>
      <c r="K115" s="11">
        <v>0</v>
      </c>
      <c r="L115" s="12">
        <v>220.8492028459537</v>
      </c>
      <c r="M115" s="12">
        <v>199.76559404425609</v>
      </c>
      <c r="N115" s="12">
        <v>394.896576055732</v>
      </c>
      <c r="O115" s="12">
        <v>502.80698720127577</v>
      </c>
      <c r="P115" s="12">
        <v>39.925499511976241</v>
      </c>
      <c r="Q115" s="12">
        <v>666.00217618100885</v>
      </c>
      <c r="R115" s="12">
        <v>100.19423353265159</v>
      </c>
      <c r="S115" s="12">
        <v>0.45367713463081372</v>
      </c>
      <c r="T115" s="12">
        <v>20</v>
      </c>
      <c r="U115" s="12">
        <v>4.1500000000000004</v>
      </c>
      <c r="V115" s="12">
        <v>4.0999999999999996</v>
      </c>
      <c r="W115" s="12">
        <v>4.0999999999999996</v>
      </c>
      <c r="X115" s="12">
        <v>4.05</v>
      </c>
      <c r="Y115" s="12">
        <v>1.219512195121951</v>
      </c>
      <c r="Z115" s="12"/>
      <c r="AA115" s="12"/>
      <c r="AB115" s="11">
        <v>0</v>
      </c>
      <c r="AC115" s="12">
        <v>0</v>
      </c>
      <c r="AD115" s="11">
        <v>2</v>
      </c>
      <c r="AE115" s="13" t="b">
        <v>1</v>
      </c>
      <c r="AF115" s="10" t="s">
        <v>60</v>
      </c>
      <c r="AG115" s="10" t="s">
        <v>61</v>
      </c>
      <c r="AH115" s="12"/>
    </row>
    <row r="116" spans="1:34" ht="32.1" customHeight="1" x14ac:dyDescent="0.25">
      <c r="A116" s="10" t="s">
        <v>56</v>
      </c>
      <c r="B116" s="10" t="s">
        <v>96</v>
      </c>
      <c r="C116" s="10" t="s">
        <v>94</v>
      </c>
      <c r="D116" s="10" t="s">
        <v>59</v>
      </c>
      <c r="E116" s="10" t="s">
        <v>59</v>
      </c>
      <c r="F116" s="10" t="s">
        <v>63</v>
      </c>
      <c r="G116" s="11">
        <v>3</v>
      </c>
      <c r="H116" s="11">
        <v>573</v>
      </c>
      <c r="I116" s="11">
        <v>568</v>
      </c>
      <c r="J116" s="11">
        <v>5</v>
      </c>
      <c r="K116" s="11">
        <v>0</v>
      </c>
      <c r="L116" s="12">
        <v>71.029520966208409</v>
      </c>
      <c r="M116" s="12">
        <v>65.681506585841618</v>
      </c>
      <c r="N116" s="12">
        <v>130.44156658756251</v>
      </c>
      <c r="O116" s="12">
        <v>163.55897544794979</v>
      </c>
      <c r="P116" s="12">
        <v>12.57129793033784</v>
      </c>
      <c r="Q116" s="12">
        <v>436.02570557452901</v>
      </c>
      <c r="R116" s="12">
        <v>33.84115339321071</v>
      </c>
      <c r="S116" s="12">
        <v>0.47643786601503768</v>
      </c>
      <c r="T116" s="12">
        <v>20</v>
      </c>
      <c r="U116" s="12">
        <v>29.05</v>
      </c>
      <c r="V116" s="12">
        <v>28.65</v>
      </c>
      <c r="W116" s="12">
        <v>28.65</v>
      </c>
      <c r="X116" s="12">
        <v>28.4</v>
      </c>
      <c r="Y116" s="12">
        <v>0.87260034904013961</v>
      </c>
      <c r="Z116" s="12"/>
      <c r="AA116" s="12"/>
      <c r="AB116" s="11">
        <v>0</v>
      </c>
      <c r="AC116" s="12">
        <v>0</v>
      </c>
      <c r="AD116" s="11">
        <v>31</v>
      </c>
      <c r="AE116" s="13" t="b">
        <v>1</v>
      </c>
      <c r="AF116" s="10" t="s">
        <v>60</v>
      </c>
      <c r="AG116" s="10" t="s">
        <v>61</v>
      </c>
      <c r="AH116" s="12"/>
    </row>
    <row r="117" spans="1:34" ht="32.1" customHeight="1" x14ac:dyDescent="0.25">
      <c r="A117" s="10" t="s">
        <v>56</v>
      </c>
      <c r="B117" s="10" t="s">
        <v>96</v>
      </c>
      <c r="C117" s="10" t="s">
        <v>94</v>
      </c>
      <c r="D117" s="10" t="s">
        <v>59</v>
      </c>
      <c r="E117" s="10" t="s">
        <v>59</v>
      </c>
      <c r="F117" s="10" t="s">
        <v>64</v>
      </c>
      <c r="G117" s="11">
        <v>3</v>
      </c>
      <c r="H117" s="11">
        <v>175</v>
      </c>
      <c r="I117" s="11">
        <v>175</v>
      </c>
      <c r="J117" s="11">
        <v>0</v>
      </c>
      <c r="K117" s="11">
        <v>0</v>
      </c>
      <c r="L117" s="12">
        <v>104.64958374947931</v>
      </c>
      <c r="M117" s="12">
        <v>98.592297125933555</v>
      </c>
      <c r="N117" s="12">
        <v>195.3835253294036</v>
      </c>
      <c r="O117" s="12">
        <v>235.48178229313061</v>
      </c>
      <c r="P117" s="12">
        <v>31.289886953519421</v>
      </c>
      <c r="Q117" s="12">
        <v>348.05617781194718</v>
      </c>
      <c r="R117" s="12">
        <v>48.69455926508374</v>
      </c>
      <c r="S117" s="12">
        <v>0.4653105872036114</v>
      </c>
      <c r="T117" s="12">
        <v>20</v>
      </c>
      <c r="U117" s="12">
        <v>8.3000000000000007</v>
      </c>
      <c r="V117" s="12">
        <v>8.75</v>
      </c>
      <c r="W117" s="12">
        <v>8.75</v>
      </c>
      <c r="X117" s="12">
        <v>8.75</v>
      </c>
      <c r="Y117" s="12">
        <v>0</v>
      </c>
      <c r="Z117" s="12"/>
      <c r="AA117" s="12"/>
      <c r="AB117" s="11">
        <v>0</v>
      </c>
      <c r="AC117" s="12">
        <v>0</v>
      </c>
      <c r="AD117" s="11">
        <v>9</v>
      </c>
      <c r="AE117" s="13" t="b">
        <v>1</v>
      </c>
      <c r="AF117" s="10" t="s">
        <v>60</v>
      </c>
      <c r="AG117" s="10" t="s">
        <v>61</v>
      </c>
      <c r="AH117" s="12"/>
    </row>
    <row r="118" spans="1:34" ht="32.1" customHeight="1" x14ac:dyDescent="0.25">
      <c r="A118" s="10" t="s">
        <v>56</v>
      </c>
      <c r="B118" s="10" t="s">
        <v>97</v>
      </c>
      <c r="C118" s="10" t="s">
        <v>94</v>
      </c>
      <c r="D118" s="10" t="s">
        <v>59</v>
      </c>
      <c r="E118" s="10" t="s">
        <v>59</v>
      </c>
      <c r="F118" s="10" t="s">
        <v>5</v>
      </c>
      <c r="G118" s="11">
        <v>4</v>
      </c>
      <c r="H118" s="11">
        <v>830</v>
      </c>
      <c r="I118" s="11">
        <v>819</v>
      </c>
      <c r="J118" s="11">
        <v>11</v>
      </c>
      <c r="K118" s="11">
        <v>0</v>
      </c>
      <c r="L118" s="12">
        <v>81.705198274842601</v>
      </c>
      <c r="M118" s="12">
        <v>61.388857688416429</v>
      </c>
      <c r="N118" s="12">
        <v>172.126754720234</v>
      </c>
      <c r="O118" s="12">
        <v>318.55558735351281</v>
      </c>
      <c r="P118" s="12">
        <v>12.121005856884789</v>
      </c>
      <c r="Q118" s="12">
        <v>3361.8239353015588</v>
      </c>
      <c r="R118" s="12">
        <v>144.33808362018519</v>
      </c>
      <c r="S118" s="12">
        <v>1.766571609491187</v>
      </c>
      <c r="T118" s="12">
        <v>20</v>
      </c>
      <c r="U118" s="12">
        <v>41.5</v>
      </c>
      <c r="V118" s="12">
        <v>41.5</v>
      </c>
      <c r="W118" s="12">
        <v>41.5</v>
      </c>
      <c r="X118" s="12">
        <v>40.950000000000003</v>
      </c>
      <c r="Y118" s="12">
        <v>1.3253012048192769</v>
      </c>
      <c r="Z118" s="12">
        <v>0</v>
      </c>
      <c r="AA118" s="12">
        <v>0</v>
      </c>
      <c r="AB118" s="11">
        <v>0</v>
      </c>
      <c r="AC118" s="12">
        <v>0</v>
      </c>
      <c r="AD118" s="11">
        <v>54</v>
      </c>
      <c r="AE118" s="13" t="b">
        <v>1</v>
      </c>
      <c r="AF118" s="10" t="s">
        <v>60</v>
      </c>
      <c r="AG118" s="10" t="s">
        <v>61</v>
      </c>
      <c r="AH118" s="12"/>
    </row>
    <row r="119" spans="1:34" ht="32.1" customHeight="1" x14ac:dyDescent="0.25">
      <c r="A119" s="10" t="s">
        <v>56</v>
      </c>
      <c r="B119" s="10" t="s">
        <v>97</v>
      </c>
      <c r="C119" s="10" t="s">
        <v>94</v>
      </c>
      <c r="D119" s="10" t="s">
        <v>59</v>
      </c>
      <c r="E119" s="10" t="s">
        <v>59</v>
      </c>
      <c r="F119" s="10" t="s">
        <v>62</v>
      </c>
      <c r="G119" s="11">
        <v>4</v>
      </c>
      <c r="H119" s="11">
        <v>73</v>
      </c>
      <c r="I119" s="11">
        <v>73</v>
      </c>
      <c r="J119" s="11">
        <v>0</v>
      </c>
      <c r="K119" s="11">
        <v>0</v>
      </c>
      <c r="L119" s="12">
        <v>221.74741557593521</v>
      </c>
      <c r="M119" s="12">
        <v>166.19289766779301</v>
      </c>
      <c r="N119" s="12">
        <v>345.72957762525471</v>
      </c>
      <c r="O119" s="12">
        <v>1249.7596158494559</v>
      </c>
      <c r="P119" s="12">
        <v>54.784210771956261</v>
      </c>
      <c r="Q119" s="12">
        <v>3361.8239353015588</v>
      </c>
      <c r="R119" s="12">
        <v>381.73992759517358</v>
      </c>
      <c r="S119" s="12">
        <v>1.7215078994435931</v>
      </c>
      <c r="T119" s="12">
        <v>20</v>
      </c>
      <c r="U119" s="12">
        <v>4.1500000000000004</v>
      </c>
      <c r="V119" s="12">
        <v>3.65</v>
      </c>
      <c r="W119" s="12">
        <v>3.65</v>
      </c>
      <c r="X119" s="12">
        <v>3.65</v>
      </c>
      <c r="Y119" s="12">
        <v>0</v>
      </c>
      <c r="Z119" s="12"/>
      <c r="AA119" s="12"/>
      <c r="AB119" s="11">
        <v>0</v>
      </c>
      <c r="AC119" s="12">
        <v>0</v>
      </c>
      <c r="AD119" s="11">
        <v>7</v>
      </c>
      <c r="AE119" s="13" t="b">
        <v>1</v>
      </c>
      <c r="AF119" s="10" t="s">
        <v>60</v>
      </c>
      <c r="AG119" s="10" t="s">
        <v>61</v>
      </c>
      <c r="AH119" s="12"/>
    </row>
    <row r="120" spans="1:34" ht="32.1" customHeight="1" x14ac:dyDescent="0.25">
      <c r="A120" s="10" t="s">
        <v>56</v>
      </c>
      <c r="B120" s="10" t="s">
        <v>97</v>
      </c>
      <c r="C120" s="10" t="s">
        <v>94</v>
      </c>
      <c r="D120" s="10" t="s">
        <v>59</v>
      </c>
      <c r="E120" s="10" t="s">
        <v>59</v>
      </c>
      <c r="F120" s="10" t="s">
        <v>63</v>
      </c>
      <c r="G120" s="11">
        <v>4</v>
      </c>
      <c r="H120" s="11">
        <v>600</v>
      </c>
      <c r="I120" s="11">
        <v>590</v>
      </c>
      <c r="J120" s="11">
        <v>10</v>
      </c>
      <c r="K120" s="11">
        <v>0</v>
      </c>
      <c r="L120" s="12">
        <v>58.219363542262812</v>
      </c>
      <c r="M120" s="12">
        <v>53.521792383141062</v>
      </c>
      <c r="N120" s="12">
        <v>102.8365515093158</v>
      </c>
      <c r="O120" s="12">
        <v>143.02431654058671</v>
      </c>
      <c r="P120" s="12">
        <v>12.121005856884789</v>
      </c>
      <c r="Q120" s="12">
        <v>619.40310306697222</v>
      </c>
      <c r="R120" s="12">
        <v>34.642902102598768</v>
      </c>
      <c r="S120" s="12">
        <v>0.59504089352420808</v>
      </c>
      <c r="T120" s="12">
        <v>20</v>
      </c>
      <c r="U120" s="12">
        <v>29.05</v>
      </c>
      <c r="V120" s="12">
        <v>30</v>
      </c>
      <c r="W120" s="12">
        <v>30</v>
      </c>
      <c r="X120" s="12">
        <v>29.5</v>
      </c>
      <c r="Y120" s="12">
        <v>1.666666666666667</v>
      </c>
      <c r="Z120" s="12"/>
      <c r="AA120" s="12"/>
      <c r="AB120" s="11">
        <v>0</v>
      </c>
      <c r="AC120" s="12">
        <v>0</v>
      </c>
      <c r="AD120" s="11">
        <v>35</v>
      </c>
      <c r="AE120" s="13" t="b">
        <v>1</v>
      </c>
      <c r="AF120" s="10" t="s">
        <v>60</v>
      </c>
      <c r="AG120" s="10" t="s">
        <v>61</v>
      </c>
      <c r="AH120" s="12"/>
    </row>
    <row r="121" spans="1:34" ht="32.1" customHeight="1" x14ac:dyDescent="0.25">
      <c r="A121" s="10" t="s">
        <v>56</v>
      </c>
      <c r="B121" s="10" t="s">
        <v>97</v>
      </c>
      <c r="C121" s="10" t="s">
        <v>94</v>
      </c>
      <c r="D121" s="10" t="s">
        <v>59</v>
      </c>
      <c r="E121" s="10" t="s">
        <v>59</v>
      </c>
      <c r="F121" s="10" t="s">
        <v>64</v>
      </c>
      <c r="G121" s="11">
        <v>4</v>
      </c>
      <c r="H121" s="11">
        <v>157</v>
      </c>
      <c r="I121" s="11">
        <v>156</v>
      </c>
      <c r="J121" s="11">
        <v>1</v>
      </c>
      <c r="K121" s="11">
        <v>0</v>
      </c>
      <c r="L121" s="12">
        <v>106.3448095905632</v>
      </c>
      <c r="M121" s="12">
        <v>84.098942515366915</v>
      </c>
      <c r="N121" s="12">
        <v>162.91956552008861</v>
      </c>
      <c r="O121" s="12">
        <v>576.7596249776152</v>
      </c>
      <c r="P121" s="12">
        <v>25.708003721224401</v>
      </c>
      <c r="Q121" s="12">
        <v>1895.8259251671579</v>
      </c>
      <c r="R121" s="12">
        <v>164.12006564910291</v>
      </c>
      <c r="S121" s="12">
        <v>1.543282331135666</v>
      </c>
      <c r="T121" s="12">
        <v>20</v>
      </c>
      <c r="U121" s="12">
        <v>8.3000000000000007</v>
      </c>
      <c r="V121" s="12">
        <v>7.85</v>
      </c>
      <c r="W121" s="12">
        <v>7.85</v>
      </c>
      <c r="X121" s="12">
        <v>7.8</v>
      </c>
      <c r="Y121" s="12">
        <v>0.63694267515923564</v>
      </c>
      <c r="Z121" s="12"/>
      <c r="AA121" s="12"/>
      <c r="AB121" s="11">
        <v>0</v>
      </c>
      <c r="AC121" s="12">
        <v>0</v>
      </c>
      <c r="AD121" s="11">
        <v>12</v>
      </c>
      <c r="AE121" s="13" t="b">
        <v>1</v>
      </c>
      <c r="AF121" s="10" t="s">
        <v>60</v>
      </c>
      <c r="AG121" s="10" t="s">
        <v>61</v>
      </c>
      <c r="AH121" s="12"/>
    </row>
    <row r="122" spans="1:34" ht="32.1" customHeight="1" x14ac:dyDescent="0.25">
      <c r="A122" s="10" t="s">
        <v>56</v>
      </c>
      <c r="B122" s="10" t="s">
        <v>98</v>
      </c>
      <c r="C122" s="10" t="s">
        <v>94</v>
      </c>
      <c r="D122" s="10" t="s">
        <v>59</v>
      </c>
      <c r="E122" s="10" t="s">
        <v>59</v>
      </c>
      <c r="F122" s="10" t="s">
        <v>5</v>
      </c>
      <c r="G122" s="11">
        <v>5</v>
      </c>
      <c r="H122" s="11">
        <v>830</v>
      </c>
      <c r="I122" s="11">
        <v>809</v>
      </c>
      <c r="J122" s="11">
        <v>21</v>
      </c>
      <c r="K122" s="11">
        <v>0</v>
      </c>
      <c r="L122" s="12">
        <v>83.017451803507029</v>
      </c>
      <c r="M122" s="12">
        <v>69.150391791087841</v>
      </c>
      <c r="N122" s="12">
        <v>198.99236640803471</v>
      </c>
      <c r="O122" s="12">
        <v>283.90732181578272</v>
      </c>
      <c r="P122" s="12">
        <v>10.89317696293201</v>
      </c>
      <c r="Q122" s="12">
        <v>489.38274486762327</v>
      </c>
      <c r="R122" s="12">
        <v>55.792140674839047</v>
      </c>
      <c r="S122" s="12">
        <v>0.67205315825511935</v>
      </c>
      <c r="T122" s="12">
        <v>20</v>
      </c>
      <c r="U122" s="12">
        <v>41.5</v>
      </c>
      <c r="V122" s="12">
        <v>41.5</v>
      </c>
      <c r="W122" s="12">
        <v>41.5</v>
      </c>
      <c r="X122" s="12">
        <v>40.450000000000003</v>
      </c>
      <c r="Y122" s="12">
        <v>2.5301204819277112</v>
      </c>
      <c r="Z122" s="12">
        <v>0</v>
      </c>
      <c r="AA122" s="12">
        <v>0</v>
      </c>
      <c r="AB122" s="11">
        <v>0</v>
      </c>
      <c r="AC122" s="12">
        <v>0</v>
      </c>
      <c r="AD122" s="11">
        <v>49</v>
      </c>
      <c r="AE122" s="13" t="b">
        <v>1</v>
      </c>
      <c r="AF122" s="10" t="s">
        <v>60</v>
      </c>
      <c r="AG122" s="10" t="s">
        <v>61</v>
      </c>
      <c r="AH122" s="12"/>
    </row>
    <row r="123" spans="1:34" ht="32.1" customHeight="1" x14ac:dyDescent="0.25">
      <c r="A123" s="10" t="s">
        <v>56</v>
      </c>
      <c r="B123" s="10" t="s">
        <v>98</v>
      </c>
      <c r="C123" s="10" t="s">
        <v>94</v>
      </c>
      <c r="D123" s="10" t="s">
        <v>59</v>
      </c>
      <c r="E123" s="10" t="s">
        <v>59</v>
      </c>
      <c r="F123" s="10" t="s">
        <v>62</v>
      </c>
      <c r="G123" s="11">
        <v>5</v>
      </c>
      <c r="H123" s="11">
        <v>85</v>
      </c>
      <c r="I123" s="11">
        <v>83</v>
      </c>
      <c r="J123" s="11">
        <v>2</v>
      </c>
      <c r="K123" s="11">
        <v>0</v>
      </c>
      <c r="L123" s="12">
        <v>194.16669608007979</v>
      </c>
      <c r="M123" s="12">
        <v>185.55347446519201</v>
      </c>
      <c r="N123" s="12">
        <v>324.19139627169523</v>
      </c>
      <c r="O123" s="12">
        <v>476.83424655481042</v>
      </c>
      <c r="P123" s="12">
        <v>52.757402979517593</v>
      </c>
      <c r="Q123" s="12">
        <v>489.38274486762327</v>
      </c>
      <c r="R123" s="12">
        <v>80.863225789839404</v>
      </c>
      <c r="S123" s="12">
        <v>0.416462902353188</v>
      </c>
      <c r="T123" s="12">
        <v>20</v>
      </c>
      <c r="U123" s="12">
        <v>4.1500000000000004</v>
      </c>
      <c r="V123" s="12">
        <v>4.25</v>
      </c>
      <c r="W123" s="12">
        <v>4.25</v>
      </c>
      <c r="X123" s="12">
        <v>4.1500000000000004</v>
      </c>
      <c r="Y123" s="12">
        <v>2.3529411764705879</v>
      </c>
      <c r="Z123" s="12"/>
      <c r="AA123" s="12"/>
      <c r="AB123" s="11">
        <v>0</v>
      </c>
      <c r="AC123" s="12">
        <v>0</v>
      </c>
      <c r="AD123" s="11">
        <v>7</v>
      </c>
      <c r="AE123" s="13" t="b">
        <v>1</v>
      </c>
      <c r="AF123" s="10" t="s">
        <v>60</v>
      </c>
      <c r="AG123" s="10" t="s">
        <v>61</v>
      </c>
      <c r="AH123" s="12"/>
    </row>
    <row r="124" spans="1:34" ht="32.1" customHeight="1" x14ac:dyDescent="0.25">
      <c r="A124" s="10" t="s">
        <v>56</v>
      </c>
      <c r="B124" s="10" t="s">
        <v>98</v>
      </c>
      <c r="C124" s="10" t="s">
        <v>94</v>
      </c>
      <c r="D124" s="10" t="s">
        <v>59</v>
      </c>
      <c r="E124" s="10" t="s">
        <v>59</v>
      </c>
      <c r="F124" s="10" t="s">
        <v>63</v>
      </c>
      <c r="G124" s="11">
        <v>5</v>
      </c>
      <c r="H124" s="11">
        <v>590</v>
      </c>
      <c r="I124" s="11">
        <v>574</v>
      </c>
      <c r="J124" s="11">
        <v>16</v>
      </c>
      <c r="K124" s="11">
        <v>0</v>
      </c>
      <c r="L124" s="12">
        <v>64.785273174606445</v>
      </c>
      <c r="M124" s="12">
        <v>61.226513312596872</v>
      </c>
      <c r="N124" s="12">
        <v>116.5616653992542</v>
      </c>
      <c r="O124" s="12">
        <v>155.54718582667309</v>
      </c>
      <c r="P124" s="12">
        <v>10.89317696293201</v>
      </c>
      <c r="Q124" s="12">
        <v>269.41706612911452</v>
      </c>
      <c r="R124" s="12">
        <v>29.584032441090262</v>
      </c>
      <c r="S124" s="12">
        <v>0.45664749087893269</v>
      </c>
      <c r="T124" s="12">
        <v>20</v>
      </c>
      <c r="U124" s="12">
        <v>29.05</v>
      </c>
      <c r="V124" s="12">
        <v>29.5</v>
      </c>
      <c r="W124" s="12">
        <v>29.5</v>
      </c>
      <c r="X124" s="12">
        <v>28.7</v>
      </c>
      <c r="Y124" s="12">
        <v>2.7118644067796609</v>
      </c>
      <c r="Z124" s="12"/>
      <c r="AA124" s="12"/>
      <c r="AB124" s="11">
        <v>0</v>
      </c>
      <c r="AC124" s="12">
        <v>0</v>
      </c>
      <c r="AD124" s="11">
        <v>37</v>
      </c>
      <c r="AE124" s="13" t="b">
        <v>1</v>
      </c>
      <c r="AF124" s="10" t="s">
        <v>60</v>
      </c>
      <c r="AG124" s="10" t="s">
        <v>61</v>
      </c>
      <c r="AH124" s="12"/>
    </row>
    <row r="125" spans="1:34" ht="32.1" customHeight="1" x14ac:dyDescent="0.25">
      <c r="A125" s="10" t="s">
        <v>56</v>
      </c>
      <c r="B125" s="10" t="s">
        <v>98</v>
      </c>
      <c r="C125" s="10" t="s">
        <v>94</v>
      </c>
      <c r="D125" s="10" t="s">
        <v>59</v>
      </c>
      <c r="E125" s="10" t="s">
        <v>59</v>
      </c>
      <c r="F125" s="10" t="s">
        <v>64</v>
      </c>
      <c r="G125" s="11">
        <v>5</v>
      </c>
      <c r="H125" s="11">
        <v>155</v>
      </c>
      <c r="I125" s="11">
        <v>152</v>
      </c>
      <c r="J125" s="11">
        <v>3</v>
      </c>
      <c r="K125" s="11">
        <v>0</v>
      </c>
      <c r="L125" s="12">
        <v>91.464546174749955</v>
      </c>
      <c r="M125" s="12">
        <v>88.07790418791781</v>
      </c>
      <c r="N125" s="12">
        <v>158.20939944711861</v>
      </c>
      <c r="O125" s="12">
        <v>217.58107499672241</v>
      </c>
      <c r="P125" s="12">
        <v>18.210130147230849</v>
      </c>
      <c r="Q125" s="12">
        <v>260.8774167384064</v>
      </c>
      <c r="R125" s="12">
        <v>40.96469312703131</v>
      </c>
      <c r="S125" s="12">
        <v>0.44787510396394631</v>
      </c>
      <c r="T125" s="12">
        <v>20</v>
      </c>
      <c r="U125" s="12">
        <v>8.3000000000000007</v>
      </c>
      <c r="V125" s="12">
        <v>7.75</v>
      </c>
      <c r="W125" s="12">
        <v>7.75</v>
      </c>
      <c r="X125" s="12">
        <v>7.6</v>
      </c>
      <c r="Y125" s="12">
        <v>1.935483870967742</v>
      </c>
      <c r="Z125" s="12"/>
      <c r="AA125" s="12"/>
      <c r="AB125" s="11">
        <v>0</v>
      </c>
      <c r="AC125" s="12">
        <v>0</v>
      </c>
      <c r="AD125" s="11">
        <v>5</v>
      </c>
      <c r="AE125" s="13" t="b">
        <v>1</v>
      </c>
      <c r="AF125" s="10" t="s">
        <v>60</v>
      </c>
      <c r="AG125" s="10" t="s">
        <v>61</v>
      </c>
      <c r="AH125" s="12"/>
    </row>
    <row r="126" spans="1:34" ht="32.1" customHeight="1" x14ac:dyDescent="0.25">
      <c r="A126" s="10" t="s">
        <v>56</v>
      </c>
      <c r="B126" s="10" t="s">
        <v>99</v>
      </c>
      <c r="C126" s="10" t="s">
        <v>94</v>
      </c>
      <c r="D126" s="10" t="s">
        <v>70</v>
      </c>
      <c r="E126" s="10" t="s">
        <v>70</v>
      </c>
      <c r="F126" s="10" t="s">
        <v>5</v>
      </c>
      <c r="G126" s="11">
        <v>1</v>
      </c>
      <c r="H126" s="11">
        <v>21</v>
      </c>
      <c r="I126" s="11">
        <v>20</v>
      </c>
      <c r="J126" s="11">
        <v>1</v>
      </c>
      <c r="K126" s="11">
        <v>0</v>
      </c>
      <c r="L126" s="12">
        <v>43.265472402716483</v>
      </c>
      <c r="M126" s="12">
        <v>38.511984715524257</v>
      </c>
      <c r="N126" s="12">
        <v>69.546626006896162</v>
      </c>
      <c r="O126" s="12">
        <v>88.269800429522348</v>
      </c>
      <c r="P126" s="12">
        <v>22.77984829748215</v>
      </c>
      <c r="Q126" s="12">
        <v>92.950594035178881</v>
      </c>
      <c r="R126" s="12">
        <v>18.193101401475548</v>
      </c>
      <c r="S126" s="12">
        <v>0.4204993125264771</v>
      </c>
      <c r="T126" s="12">
        <v>20.026391</v>
      </c>
      <c r="U126" s="12"/>
      <c r="V126" s="12">
        <v>1.0486162983634939</v>
      </c>
      <c r="W126" s="12">
        <v>1.0486162983634939</v>
      </c>
      <c r="X126" s="12">
        <v>0.99868218891761362</v>
      </c>
      <c r="Y126" s="12">
        <v>4.7619047619047619</v>
      </c>
      <c r="Z126" s="12">
        <v>0</v>
      </c>
      <c r="AA126" s="12">
        <v>0</v>
      </c>
      <c r="AB126" s="11">
        <v>0</v>
      </c>
      <c r="AC126" s="12">
        <v>0</v>
      </c>
      <c r="AD126" s="11">
        <v>2</v>
      </c>
      <c r="AE126" s="13" t="b">
        <v>0</v>
      </c>
      <c r="AF126" s="10" t="s">
        <v>60</v>
      </c>
      <c r="AG126" s="10" t="s">
        <v>61</v>
      </c>
      <c r="AH126" s="10" t="s">
        <v>71</v>
      </c>
    </row>
    <row r="127" spans="1:34" ht="32.1" customHeight="1" x14ac:dyDescent="0.25">
      <c r="A127" s="10" t="s">
        <v>56</v>
      </c>
      <c r="B127" s="10" t="s">
        <v>99</v>
      </c>
      <c r="C127" s="10" t="s">
        <v>94</v>
      </c>
      <c r="D127" s="10" t="s">
        <v>70</v>
      </c>
      <c r="E127" s="10" t="s">
        <v>70</v>
      </c>
      <c r="F127" s="10" t="s">
        <v>62</v>
      </c>
      <c r="G127" s="11">
        <v>1</v>
      </c>
      <c r="H127" s="11">
        <v>2</v>
      </c>
      <c r="I127" s="11">
        <v>2</v>
      </c>
      <c r="J127" s="11">
        <v>0</v>
      </c>
      <c r="K127" s="11">
        <v>0</v>
      </c>
      <c r="L127" s="12">
        <v>81.248610021037507</v>
      </c>
      <c r="M127" s="12">
        <v>81.248610021037507</v>
      </c>
      <c r="N127" s="12">
        <v>91.780395633764726</v>
      </c>
      <c r="O127" s="12">
        <v>92.716554354896033</v>
      </c>
      <c r="P127" s="12">
        <v>69.546626006896162</v>
      </c>
      <c r="Q127" s="12">
        <v>92.950594035178881</v>
      </c>
      <c r="R127" s="12">
        <v>16.549104499471849</v>
      </c>
      <c r="S127" s="12">
        <v>0.2036847706709915</v>
      </c>
      <c r="T127" s="12">
        <v>20.026391</v>
      </c>
      <c r="U127" s="12"/>
      <c r="V127" s="12">
        <v>9.9868218891761298E-2</v>
      </c>
      <c r="W127" s="12">
        <v>9.9868218891761298E-2</v>
      </c>
      <c r="X127" s="12">
        <v>9.9868218891761298E-2</v>
      </c>
      <c r="Y127" s="12">
        <v>0</v>
      </c>
      <c r="Z127" s="12"/>
      <c r="AA127" s="12"/>
      <c r="AB127" s="11">
        <v>0</v>
      </c>
      <c r="AC127" s="12">
        <v>0</v>
      </c>
      <c r="AD127" s="11">
        <v>0</v>
      </c>
      <c r="AE127" s="13" t="b">
        <v>0</v>
      </c>
      <c r="AF127" s="10" t="s">
        <v>60</v>
      </c>
      <c r="AG127" s="10" t="s">
        <v>61</v>
      </c>
      <c r="AH127" s="10" t="s">
        <v>71</v>
      </c>
    </row>
    <row r="128" spans="1:34" ht="32.1" customHeight="1" x14ac:dyDescent="0.25">
      <c r="A128" s="10" t="s">
        <v>56</v>
      </c>
      <c r="B128" s="10" t="s">
        <v>99</v>
      </c>
      <c r="C128" s="10" t="s">
        <v>94</v>
      </c>
      <c r="D128" s="10" t="s">
        <v>70</v>
      </c>
      <c r="E128" s="10" t="s">
        <v>70</v>
      </c>
      <c r="F128" s="10" t="s">
        <v>63</v>
      </c>
      <c r="G128" s="11">
        <v>1</v>
      </c>
      <c r="H128" s="11">
        <v>14</v>
      </c>
      <c r="I128" s="11">
        <v>13</v>
      </c>
      <c r="J128" s="11">
        <v>1</v>
      </c>
      <c r="K128" s="11">
        <v>0</v>
      </c>
      <c r="L128" s="12">
        <v>34.406112110774309</v>
      </c>
      <c r="M128" s="12">
        <v>30.477534904080709</v>
      </c>
      <c r="N128" s="12">
        <v>52.690432604735953</v>
      </c>
      <c r="O128" s="12">
        <v>59.230454185557733</v>
      </c>
      <c r="P128" s="12">
        <v>22.77984829748215</v>
      </c>
      <c r="Q128" s="12">
        <v>60.865459580763179</v>
      </c>
      <c r="R128" s="12">
        <v>10.521723943481559</v>
      </c>
      <c r="S128" s="12">
        <v>0.30580973257326199</v>
      </c>
      <c r="T128" s="12">
        <v>20.026391</v>
      </c>
      <c r="U128" s="12"/>
      <c r="V128" s="12">
        <v>0.6990775322423296</v>
      </c>
      <c r="W128" s="12">
        <v>0.6990775322423296</v>
      </c>
      <c r="X128" s="12">
        <v>0.64914342279644899</v>
      </c>
      <c r="Y128" s="12">
        <v>7.1428571428571432</v>
      </c>
      <c r="Z128" s="12"/>
      <c r="AA128" s="12"/>
      <c r="AB128" s="11">
        <v>0</v>
      </c>
      <c r="AC128" s="12">
        <v>0</v>
      </c>
      <c r="AD128" s="11">
        <v>2</v>
      </c>
      <c r="AE128" s="13" t="b">
        <v>0</v>
      </c>
      <c r="AF128" s="10" t="s">
        <v>60</v>
      </c>
      <c r="AG128" s="10" t="s">
        <v>61</v>
      </c>
      <c r="AH128" s="10" t="s">
        <v>71</v>
      </c>
    </row>
    <row r="129" spans="1:34" ht="32.1" customHeight="1" x14ac:dyDescent="0.25">
      <c r="A129" s="10" t="s">
        <v>56</v>
      </c>
      <c r="B129" s="10" t="s">
        <v>99</v>
      </c>
      <c r="C129" s="10" t="s">
        <v>94</v>
      </c>
      <c r="D129" s="10" t="s">
        <v>70</v>
      </c>
      <c r="E129" s="10" t="s">
        <v>70</v>
      </c>
      <c r="F129" s="10" t="s">
        <v>64</v>
      </c>
      <c r="G129" s="11">
        <v>1</v>
      </c>
      <c r="H129" s="11">
        <v>5</v>
      </c>
      <c r="I129" s="11">
        <v>5</v>
      </c>
      <c r="J129" s="11">
        <v>0</v>
      </c>
      <c r="K129" s="11">
        <v>0</v>
      </c>
      <c r="L129" s="12">
        <v>52.878426172826138</v>
      </c>
      <c r="M129" s="12">
        <v>52.44202430245187</v>
      </c>
      <c r="N129" s="12">
        <v>65.688799143012133</v>
      </c>
      <c r="O129" s="12">
        <v>68.082356890736222</v>
      </c>
      <c r="P129" s="12">
        <v>38.511984715524257</v>
      </c>
      <c r="Q129" s="12">
        <v>68.680746327667237</v>
      </c>
      <c r="R129" s="12">
        <v>10.728484820164731</v>
      </c>
      <c r="S129" s="12">
        <v>0.2028896394363193</v>
      </c>
      <c r="T129" s="12">
        <v>20.026391</v>
      </c>
      <c r="U129" s="12"/>
      <c r="V129" s="12">
        <v>0.24967054722940341</v>
      </c>
      <c r="W129" s="12">
        <v>0.24967054722940341</v>
      </c>
      <c r="X129" s="12">
        <v>0.24967054722940341</v>
      </c>
      <c r="Y129" s="12">
        <v>0</v>
      </c>
      <c r="Z129" s="12"/>
      <c r="AA129" s="12"/>
      <c r="AB129" s="11">
        <v>0</v>
      </c>
      <c r="AC129" s="12">
        <v>0</v>
      </c>
      <c r="AD129" s="11">
        <v>0</v>
      </c>
      <c r="AE129" s="13" t="b">
        <v>0</v>
      </c>
      <c r="AF129" s="10" t="s">
        <v>60</v>
      </c>
      <c r="AG129" s="10" t="s">
        <v>61</v>
      </c>
      <c r="AH129" s="10" t="s">
        <v>71</v>
      </c>
    </row>
    <row r="130" spans="1:34" ht="32.1" customHeight="1" x14ac:dyDescent="0.25">
      <c r="A130" s="10" t="s">
        <v>56</v>
      </c>
      <c r="B130" s="10" t="s">
        <v>100</v>
      </c>
      <c r="C130" s="10" t="s">
        <v>94</v>
      </c>
      <c r="D130" s="10" t="s">
        <v>70</v>
      </c>
      <c r="E130" s="10" t="s">
        <v>70</v>
      </c>
      <c r="F130" s="10" t="s">
        <v>5</v>
      </c>
      <c r="G130" s="11">
        <v>2</v>
      </c>
      <c r="H130" s="11">
        <v>21</v>
      </c>
      <c r="I130" s="11">
        <v>20</v>
      </c>
      <c r="J130" s="11">
        <v>1</v>
      </c>
      <c r="K130" s="11">
        <v>0</v>
      </c>
      <c r="L130" s="12">
        <v>50.557027055076269</v>
      </c>
      <c r="M130" s="12">
        <v>31.527501790268921</v>
      </c>
      <c r="N130" s="12">
        <v>136.14079724489631</v>
      </c>
      <c r="O130" s="12">
        <v>157.56463778901551</v>
      </c>
      <c r="P130" s="12">
        <v>12.09339027855075</v>
      </c>
      <c r="Q130" s="12">
        <v>162.9205979250452</v>
      </c>
      <c r="R130" s="12">
        <v>39.937904386958031</v>
      </c>
      <c r="S130" s="12">
        <v>0.78995753337019037</v>
      </c>
      <c r="T130" s="12">
        <v>20.057345000000002</v>
      </c>
      <c r="U130" s="12"/>
      <c r="V130" s="12">
        <v>1.0469979949988391</v>
      </c>
      <c r="W130" s="12">
        <v>1.0469979949988391</v>
      </c>
      <c r="X130" s="12">
        <v>0.99714094761794236</v>
      </c>
      <c r="Y130" s="12">
        <v>4.7619047619047619</v>
      </c>
      <c r="Z130" s="12">
        <v>0</v>
      </c>
      <c r="AA130" s="12">
        <v>0</v>
      </c>
      <c r="AB130" s="11">
        <v>0</v>
      </c>
      <c r="AC130" s="12">
        <v>0</v>
      </c>
      <c r="AD130" s="11">
        <v>0</v>
      </c>
      <c r="AE130" s="13" t="b">
        <v>0</v>
      </c>
      <c r="AF130" s="10" t="s">
        <v>60</v>
      </c>
      <c r="AG130" s="10" t="s">
        <v>61</v>
      </c>
      <c r="AH130" s="10" t="s">
        <v>71</v>
      </c>
    </row>
    <row r="131" spans="1:34" ht="32.1" customHeight="1" x14ac:dyDescent="0.25">
      <c r="A131" s="10" t="s">
        <v>56</v>
      </c>
      <c r="B131" s="10" t="s">
        <v>100</v>
      </c>
      <c r="C131" s="10" t="s">
        <v>94</v>
      </c>
      <c r="D131" s="10" t="s">
        <v>70</v>
      </c>
      <c r="E131" s="10" t="s">
        <v>70</v>
      </c>
      <c r="F131" s="10" t="s">
        <v>62</v>
      </c>
      <c r="G131" s="11">
        <v>2</v>
      </c>
      <c r="H131" s="11">
        <v>5</v>
      </c>
      <c r="I131" s="11">
        <v>4</v>
      </c>
      <c r="J131" s="11">
        <v>1</v>
      </c>
      <c r="K131" s="11">
        <v>0</v>
      </c>
      <c r="L131" s="12">
        <v>105.57885211155281</v>
      </c>
      <c r="M131" s="12">
        <v>106.90243734179251</v>
      </c>
      <c r="N131" s="12">
        <v>157.56463778901539</v>
      </c>
      <c r="O131" s="12">
        <v>161.84940589783929</v>
      </c>
      <c r="P131" s="12">
        <v>57.814399287363401</v>
      </c>
      <c r="Q131" s="12">
        <v>162.9205979250452</v>
      </c>
      <c r="R131" s="12">
        <v>45.344428696150914</v>
      </c>
      <c r="S131" s="12">
        <v>0.42948400924307051</v>
      </c>
      <c r="T131" s="12">
        <v>20.057345000000002</v>
      </c>
      <c r="U131" s="12"/>
      <c r="V131" s="12">
        <v>0.24928523690448559</v>
      </c>
      <c r="W131" s="12">
        <v>0.24928523690448559</v>
      </c>
      <c r="X131" s="12">
        <v>0.1994281895235884</v>
      </c>
      <c r="Y131" s="12">
        <v>20</v>
      </c>
      <c r="Z131" s="12"/>
      <c r="AA131" s="12"/>
      <c r="AB131" s="11">
        <v>0</v>
      </c>
      <c r="AC131" s="12">
        <v>0</v>
      </c>
      <c r="AD131" s="11">
        <v>0</v>
      </c>
      <c r="AE131" s="13" t="b">
        <v>0</v>
      </c>
      <c r="AF131" s="10" t="s">
        <v>60</v>
      </c>
      <c r="AG131" s="10" t="s">
        <v>61</v>
      </c>
      <c r="AH131" s="10" t="s">
        <v>71</v>
      </c>
    </row>
    <row r="132" spans="1:34" ht="32.1" customHeight="1" x14ac:dyDescent="0.25">
      <c r="A132" s="10" t="s">
        <v>56</v>
      </c>
      <c r="B132" s="10" t="s">
        <v>100</v>
      </c>
      <c r="C132" s="10" t="s">
        <v>94</v>
      </c>
      <c r="D132" s="10" t="s">
        <v>70</v>
      </c>
      <c r="E132" s="10" t="s">
        <v>70</v>
      </c>
      <c r="F132" s="10" t="s">
        <v>63</v>
      </c>
      <c r="G132" s="11">
        <v>2</v>
      </c>
      <c r="H132" s="11">
        <v>11</v>
      </c>
      <c r="I132" s="11">
        <v>11</v>
      </c>
      <c r="J132" s="11">
        <v>0</v>
      </c>
      <c r="K132" s="11">
        <v>0</v>
      </c>
      <c r="L132" s="12">
        <v>24.977447710643499</v>
      </c>
      <c r="M132" s="12">
        <v>24.985562336364051</v>
      </c>
      <c r="N132" s="12">
        <v>35.347187378634153</v>
      </c>
      <c r="O132" s="12">
        <v>38.402935849326333</v>
      </c>
      <c r="P132" s="12">
        <v>12.09339027855075</v>
      </c>
      <c r="Q132" s="12">
        <v>39.166872966999371</v>
      </c>
      <c r="R132" s="12">
        <v>7.7504682706030934</v>
      </c>
      <c r="S132" s="12">
        <v>0.31029864862054862</v>
      </c>
      <c r="T132" s="12">
        <v>20.057345000000002</v>
      </c>
      <c r="U132" s="12"/>
      <c r="V132" s="12">
        <v>0.54842752118986826</v>
      </c>
      <c r="W132" s="12">
        <v>0.54842752118986826</v>
      </c>
      <c r="X132" s="12">
        <v>0.54842752118986826</v>
      </c>
      <c r="Y132" s="12">
        <v>0</v>
      </c>
      <c r="Z132" s="12"/>
      <c r="AA132" s="12"/>
      <c r="AB132" s="11">
        <v>0</v>
      </c>
      <c r="AC132" s="12">
        <v>0</v>
      </c>
      <c r="AD132" s="11">
        <v>0</v>
      </c>
      <c r="AE132" s="13" t="b">
        <v>0</v>
      </c>
      <c r="AF132" s="10" t="s">
        <v>60</v>
      </c>
      <c r="AG132" s="10" t="s">
        <v>61</v>
      </c>
      <c r="AH132" s="10" t="s">
        <v>71</v>
      </c>
    </row>
    <row r="133" spans="1:34" ht="32.1" customHeight="1" x14ac:dyDescent="0.25">
      <c r="A133" s="10" t="s">
        <v>56</v>
      </c>
      <c r="B133" s="10" t="s">
        <v>100</v>
      </c>
      <c r="C133" s="10" t="s">
        <v>94</v>
      </c>
      <c r="D133" s="10" t="s">
        <v>70</v>
      </c>
      <c r="E133" s="10" t="s">
        <v>70</v>
      </c>
      <c r="F133" s="10" t="s">
        <v>64</v>
      </c>
      <c r="G133" s="11">
        <v>2</v>
      </c>
      <c r="H133" s="11">
        <v>5</v>
      </c>
      <c r="I133" s="11">
        <v>5</v>
      </c>
      <c r="J133" s="11">
        <v>0</v>
      </c>
      <c r="K133" s="11">
        <v>0</v>
      </c>
      <c r="L133" s="12">
        <v>51.810276556351837</v>
      </c>
      <c r="M133" s="12">
        <v>55.345217473121323</v>
      </c>
      <c r="N133" s="12">
        <v>63.816891852387521</v>
      </c>
      <c r="O133" s="12">
        <v>64.291683746871698</v>
      </c>
      <c r="P133" s="12">
        <v>30.643885453254221</v>
      </c>
      <c r="Q133" s="12">
        <v>64.410381720492751</v>
      </c>
      <c r="R133" s="12">
        <v>13.539153306884669</v>
      </c>
      <c r="S133" s="12">
        <v>0.26132177256685168</v>
      </c>
      <c r="T133" s="12">
        <v>20.057345000000002</v>
      </c>
      <c r="U133" s="12"/>
      <c r="V133" s="12">
        <v>0.24928523690448559</v>
      </c>
      <c r="W133" s="12">
        <v>0.24928523690448559</v>
      </c>
      <c r="X133" s="12">
        <v>0.24928523690448559</v>
      </c>
      <c r="Y133" s="12">
        <v>0</v>
      </c>
      <c r="Z133" s="12"/>
      <c r="AA133" s="12"/>
      <c r="AB133" s="11">
        <v>0</v>
      </c>
      <c r="AC133" s="12">
        <v>0</v>
      </c>
      <c r="AD133" s="11">
        <v>0</v>
      </c>
      <c r="AE133" s="13" t="b">
        <v>0</v>
      </c>
      <c r="AF133" s="10" t="s">
        <v>60</v>
      </c>
      <c r="AG133" s="10" t="s">
        <v>61</v>
      </c>
      <c r="AH133" s="10" t="s">
        <v>71</v>
      </c>
    </row>
    <row r="134" spans="1:34" ht="32.1" customHeight="1" x14ac:dyDescent="0.25">
      <c r="A134" s="10" t="s">
        <v>56</v>
      </c>
      <c r="B134" s="10" t="s">
        <v>101</v>
      </c>
      <c r="C134" s="10" t="s">
        <v>94</v>
      </c>
      <c r="D134" s="10" t="s">
        <v>70</v>
      </c>
      <c r="E134" s="10" t="s">
        <v>70</v>
      </c>
      <c r="F134" s="10" t="s">
        <v>5</v>
      </c>
      <c r="G134" s="11">
        <v>3</v>
      </c>
      <c r="H134" s="11">
        <v>21</v>
      </c>
      <c r="I134" s="11">
        <v>20</v>
      </c>
      <c r="J134" s="11">
        <v>1</v>
      </c>
      <c r="K134" s="11">
        <v>0</v>
      </c>
      <c r="L134" s="12">
        <v>49.365318032219307</v>
      </c>
      <c r="M134" s="12">
        <v>42.253440542890473</v>
      </c>
      <c r="N134" s="12">
        <v>106.0944562978087</v>
      </c>
      <c r="O134" s="12">
        <v>107.9260672849896</v>
      </c>
      <c r="P134" s="12">
        <v>20.232514815965661</v>
      </c>
      <c r="Q134" s="12">
        <v>108.3839700317848</v>
      </c>
      <c r="R134" s="12">
        <v>23.263194381478201</v>
      </c>
      <c r="S134" s="12">
        <v>0.47124571072944321</v>
      </c>
      <c r="T134" s="12">
        <v>20.058308</v>
      </c>
      <c r="U134" s="12"/>
      <c r="V134" s="12">
        <v>1.046947728592063</v>
      </c>
      <c r="W134" s="12">
        <v>1.046947728592063</v>
      </c>
      <c r="X134" s="12">
        <v>0.99709307484958365</v>
      </c>
      <c r="Y134" s="12">
        <v>4.7619047619047619</v>
      </c>
      <c r="Z134" s="12">
        <v>0</v>
      </c>
      <c r="AA134" s="12">
        <v>0</v>
      </c>
      <c r="AB134" s="11">
        <v>0</v>
      </c>
      <c r="AC134" s="12">
        <v>0</v>
      </c>
      <c r="AD134" s="11">
        <v>1</v>
      </c>
      <c r="AE134" s="13" t="b">
        <v>0</v>
      </c>
      <c r="AF134" s="10" t="s">
        <v>60</v>
      </c>
      <c r="AG134" s="10" t="s">
        <v>61</v>
      </c>
      <c r="AH134" s="10" t="s">
        <v>71</v>
      </c>
    </row>
    <row r="135" spans="1:34" ht="32.1" customHeight="1" x14ac:dyDescent="0.25">
      <c r="A135" s="10" t="s">
        <v>56</v>
      </c>
      <c r="B135" s="10" t="s">
        <v>101</v>
      </c>
      <c r="C135" s="10" t="s">
        <v>94</v>
      </c>
      <c r="D135" s="10" t="s">
        <v>70</v>
      </c>
      <c r="E135" s="10" t="s">
        <v>70</v>
      </c>
      <c r="F135" s="10" t="s">
        <v>62</v>
      </c>
      <c r="G135" s="11">
        <v>3</v>
      </c>
      <c r="H135" s="11">
        <v>3</v>
      </c>
      <c r="I135" s="11">
        <v>3</v>
      </c>
      <c r="J135" s="11">
        <v>0</v>
      </c>
      <c r="K135" s="11">
        <v>0</v>
      </c>
      <c r="L135" s="12">
        <v>95.938079351801122</v>
      </c>
      <c r="M135" s="12">
        <v>106.0944562978087</v>
      </c>
      <c r="N135" s="12">
        <v>108.15501865838721</v>
      </c>
      <c r="O135" s="12">
        <v>108.33817975710529</v>
      </c>
      <c r="P135" s="12">
        <v>73.335811725809819</v>
      </c>
      <c r="Q135" s="12">
        <v>108.3839700317848</v>
      </c>
      <c r="R135" s="12">
        <v>19.607583855799689</v>
      </c>
      <c r="S135" s="12">
        <v>0.20437749002561811</v>
      </c>
      <c r="T135" s="12">
        <v>20.058308</v>
      </c>
      <c r="U135" s="12"/>
      <c r="V135" s="12">
        <v>0.14956396122743751</v>
      </c>
      <c r="W135" s="12">
        <v>0.14956396122743751</v>
      </c>
      <c r="X135" s="12">
        <v>0.14956396122743751</v>
      </c>
      <c r="Y135" s="12">
        <v>0</v>
      </c>
      <c r="Z135" s="12"/>
      <c r="AA135" s="12"/>
      <c r="AB135" s="11">
        <v>0</v>
      </c>
      <c r="AC135" s="12">
        <v>0</v>
      </c>
      <c r="AD135" s="11">
        <v>0</v>
      </c>
      <c r="AE135" s="13" t="b">
        <v>0</v>
      </c>
      <c r="AF135" s="10" t="s">
        <v>60</v>
      </c>
      <c r="AG135" s="10" t="s">
        <v>61</v>
      </c>
      <c r="AH135" s="10" t="s">
        <v>71</v>
      </c>
    </row>
    <row r="136" spans="1:34" ht="32.1" customHeight="1" x14ac:dyDescent="0.25">
      <c r="A136" s="10" t="s">
        <v>56</v>
      </c>
      <c r="B136" s="10" t="s">
        <v>101</v>
      </c>
      <c r="C136" s="10" t="s">
        <v>94</v>
      </c>
      <c r="D136" s="10" t="s">
        <v>70</v>
      </c>
      <c r="E136" s="10" t="s">
        <v>70</v>
      </c>
      <c r="F136" s="10" t="s">
        <v>63</v>
      </c>
      <c r="G136" s="11">
        <v>3</v>
      </c>
      <c r="H136" s="11">
        <v>16</v>
      </c>
      <c r="I136" s="11">
        <v>16</v>
      </c>
      <c r="J136" s="11">
        <v>0</v>
      </c>
      <c r="K136" s="11">
        <v>0</v>
      </c>
      <c r="L136" s="12">
        <v>41.022228187863597</v>
      </c>
      <c r="M136" s="12">
        <v>41.690135924229629</v>
      </c>
      <c r="N136" s="12">
        <v>58.360664822365763</v>
      </c>
      <c r="O136" s="12">
        <v>63.285556580198289</v>
      </c>
      <c r="P136" s="12">
        <v>20.232514815965661</v>
      </c>
      <c r="Q136" s="12">
        <v>64.516779519656424</v>
      </c>
      <c r="R136" s="12">
        <v>11.793119737449169</v>
      </c>
      <c r="S136" s="12">
        <v>0.28748120856434012</v>
      </c>
      <c r="T136" s="12">
        <v>20.058308</v>
      </c>
      <c r="U136" s="12"/>
      <c r="V136" s="12">
        <v>0.79767445987966679</v>
      </c>
      <c r="W136" s="12">
        <v>0.79767445987966679</v>
      </c>
      <c r="X136" s="12">
        <v>0.79767445987966679</v>
      </c>
      <c r="Y136" s="12">
        <v>0</v>
      </c>
      <c r="Z136" s="12"/>
      <c r="AA136" s="12"/>
      <c r="AB136" s="11">
        <v>0</v>
      </c>
      <c r="AC136" s="12">
        <v>0</v>
      </c>
      <c r="AD136" s="11">
        <v>1</v>
      </c>
      <c r="AE136" s="13" t="b">
        <v>0</v>
      </c>
      <c r="AF136" s="10" t="s">
        <v>60</v>
      </c>
      <c r="AG136" s="10" t="s">
        <v>61</v>
      </c>
      <c r="AH136" s="10" t="s">
        <v>71</v>
      </c>
    </row>
    <row r="137" spans="1:34" ht="32.1" customHeight="1" x14ac:dyDescent="0.25">
      <c r="A137" s="10" t="s">
        <v>56</v>
      </c>
      <c r="B137" s="10" t="s">
        <v>101</v>
      </c>
      <c r="C137" s="10" t="s">
        <v>94</v>
      </c>
      <c r="D137" s="10" t="s">
        <v>70</v>
      </c>
      <c r="E137" s="10" t="s">
        <v>70</v>
      </c>
      <c r="F137" s="10" t="s">
        <v>64</v>
      </c>
      <c r="G137" s="11">
        <v>3</v>
      </c>
      <c r="H137" s="11">
        <v>2</v>
      </c>
      <c r="I137" s="11">
        <v>1</v>
      </c>
      <c r="J137" s="11">
        <v>1</v>
      </c>
      <c r="K137" s="11">
        <v>0</v>
      </c>
      <c r="L137" s="12">
        <v>46.25089480769244</v>
      </c>
      <c r="M137" s="12">
        <v>46.25089480769244</v>
      </c>
      <c r="N137" s="12">
        <v>57.781165432746462</v>
      </c>
      <c r="O137" s="12">
        <v>58.806078377195703</v>
      </c>
      <c r="P137" s="12">
        <v>33.439483002076869</v>
      </c>
      <c r="Q137" s="12">
        <v>59.06230661330801</v>
      </c>
      <c r="R137" s="12">
        <v>18.118072328648321</v>
      </c>
      <c r="S137" s="12">
        <v>0.3917345254396013</v>
      </c>
      <c r="T137" s="12">
        <v>20.058308</v>
      </c>
      <c r="U137" s="12"/>
      <c r="V137" s="12">
        <v>9.9709307484958307E-2</v>
      </c>
      <c r="W137" s="12">
        <v>9.9709307484958307E-2</v>
      </c>
      <c r="X137" s="12">
        <v>4.9854653742479098E-2</v>
      </c>
      <c r="Y137" s="12">
        <v>50</v>
      </c>
      <c r="Z137" s="12"/>
      <c r="AA137" s="12"/>
      <c r="AB137" s="11">
        <v>0</v>
      </c>
      <c r="AC137" s="12">
        <v>0</v>
      </c>
      <c r="AD137" s="11">
        <v>0</v>
      </c>
      <c r="AE137" s="13" t="b">
        <v>0</v>
      </c>
      <c r="AF137" s="10" t="s">
        <v>60</v>
      </c>
      <c r="AG137" s="10" t="s">
        <v>61</v>
      </c>
      <c r="AH137" s="10" t="s">
        <v>71</v>
      </c>
    </row>
    <row r="138" spans="1:34" ht="32.1" customHeight="1" x14ac:dyDescent="0.25">
      <c r="A138" s="10" t="s">
        <v>56</v>
      </c>
      <c r="B138" s="10" t="s">
        <v>102</v>
      </c>
      <c r="C138" s="10" t="s">
        <v>94</v>
      </c>
      <c r="D138" s="10" t="s">
        <v>70</v>
      </c>
      <c r="E138" s="10" t="s">
        <v>70</v>
      </c>
      <c r="F138" s="10" t="s">
        <v>5</v>
      </c>
      <c r="G138" s="11">
        <v>4</v>
      </c>
      <c r="H138" s="11">
        <v>21</v>
      </c>
      <c r="I138" s="11">
        <v>21</v>
      </c>
      <c r="J138" s="11">
        <v>0</v>
      </c>
      <c r="K138" s="11">
        <v>0</v>
      </c>
      <c r="L138" s="12">
        <v>56.164254203433003</v>
      </c>
      <c r="M138" s="12">
        <v>37.862750845339932</v>
      </c>
      <c r="N138" s="12">
        <v>159.71166426903201</v>
      </c>
      <c r="O138" s="12">
        <v>161.76578584573079</v>
      </c>
      <c r="P138" s="12">
        <v>17.947939282082231</v>
      </c>
      <c r="Q138" s="12">
        <v>162.2793162399056</v>
      </c>
      <c r="R138" s="12">
        <v>43.726211638362003</v>
      </c>
      <c r="S138" s="12">
        <v>0.77854165889893123</v>
      </c>
      <c r="T138" s="12">
        <v>20.030242000000001</v>
      </c>
      <c r="U138" s="12"/>
      <c r="V138" s="12">
        <v>1.048414692144009</v>
      </c>
      <c r="W138" s="12">
        <v>1.048414692144009</v>
      </c>
      <c r="X138" s="12">
        <v>1.048414692144009</v>
      </c>
      <c r="Y138" s="12">
        <v>0</v>
      </c>
      <c r="Z138" s="12">
        <v>0</v>
      </c>
      <c r="AA138" s="12">
        <v>0</v>
      </c>
      <c r="AB138" s="11">
        <v>0</v>
      </c>
      <c r="AC138" s="12">
        <v>0</v>
      </c>
      <c r="AD138" s="11">
        <v>1</v>
      </c>
      <c r="AE138" s="13" t="b">
        <v>0</v>
      </c>
      <c r="AF138" s="10" t="s">
        <v>60</v>
      </c>
      <c r="AG138" s="10" t="s">
        <v>61</v>
      </c>
      <c r="AH138" s="10" t="s">
        <v>71</v>
      </c>
    </row>
    <row r="139" spans="1:34" ht="32.1" customHeight="1" x14ac:dyDescent="0.25">
      <c r="A139" s="10" t="s">
        <v>56</v>
      </c>
      <c r="B139" s="10" t="s">
        <v>102</v>
      </c>
      <c r="C139" s="10" t="s">
        <v>94</v>
      </c>
      <c r="D139" s="10" t="s">
        <v>70</v>
      </c>
      <c r="E139" s="10" t="s">
        <v>70</v>
      </c>
      <c r="F139" s="10" t="s">
        <v>62</v>
      </c>
      <c r="G139" s="11">
        <v>4</v>
      </c>
      <c r="H139" s="11">
        <v>3</v>
      </c>
      <c r="I139" s="11">
        <v>3</v>
      </c>
      <c r="J139" s="11">
        <v>0</v>
      </c>
      <c r="K139" s="11">
        <v>0</v>
      </c>
      <c r="L139" s="12">
        <v>156.18596061003831</v>
      </c>
      <c r="M139" s="12">
        <v>159.71166426903201</v>
      </c>
      <c r="N139" s="12">
        <v>162.02255104281821</v>
      </c>
      <c r="O139" s="12">
        <v>162.22796320048809</v>
      </c>
      <c r="P139" s="12">
        <v>146.5669013211772</v>
      </c>
      <c r="Q139" s="12">
        <v>162.2793162399056</v>
      </c>
      <c r="R139" s="12">
        <v>8.4286971331784386</v>
      </c>
      <c r="S139" s="12">
        <v>5.3965779640226599E-2</v>
      </c>
      <c r="T139" s="12">
        <v>20.030242000000001</v>
      </c>
      <c r="U139" s="12"/>
      <c r="V139" s="12">
        <v>0.1497735274491441</v>
      </c>
      <c r="W139" s="12">
        <v>0.1497735274491441</v>
      </c>
      <c r="X139" s="12">
        <v>0.1497735274491441</v>
      </c>
      <c r="Y139" s="12">
        <v>0</v>
      </c>
      <c r="Z139" s="12"/>
      <c r="AA139" s="12"/>
      <c r="AB139" s="11">
        <v>0</v>
      </c>
      <c r="AC139" s="12">
        <v>0</v>
      </c>
      <c r="AD139" s="11">
        <v>0</v>
      </c>
      <c r="AE139" s="13" t="b">
        <v>0</v>
      </c>
      <c r="AF139" s="10" t="s">
        <v>60</v>
      </c>
      <c r="AG139" s="10" t="s">
        <v>61</v>
      </c>
      <c r="AH139" s="10" t="s">
        <v>71</v>
      </c>
    </row>
    <row r="140" spans="1:34" ht="32.1" customHeight="1" x14ac:dyDescent="0.25">
      <c r="A140" s="10" t="s">
        <v>56</v>
      </c>
      <c r="B140" s="10" t="s">
        <v>102</v>
      </c>
      <c r="C140" s="10" t="s">
        <v>94</v>
      </c>
      <c r="D140" s="10" t="s">
        <v>70</v>
      </c>
      <c r="E140" s="10" t="s">
        <v>70</v>
      </c>
      <c r="F140" s="10" t="s">
        <v>63</v>
      </c>
      <c r="G140" s="11">
        <v>4</v>
      </c>
      <c r="H140" s="11">
        <v>13</v>
      </c>
      <c r="I140" s="11">
        <v>13</v>
      </c>
      <c r="J140" s="11">
        <v>0</v>
      </c>
      <c r="K140" s="11">
        <v>0</v>
      </c>
      <c r="L140" s="12">
        <v>35.62741346312766</v>
      </c>
      <c r="M140" s="12">
        <v>33.540686773130332</v>
      </c>
      <c r="N140" s="12">
        <v>54.011969743309912</v>
      </c>
      <c r="O140" s="12">
        <v>57.265076991259839</v>
      </c>
      <c r="P140" s="12">
        <v>17.947939282082231</v>
      </c>
      <c r="Q140" s="12">
        <v>58.078353803247332</v>
      </c>
      <c r="R140" s="12">
        <v>11.59713663619906</v>
      </c>
      <c r="S140" s="12">
        <v>0.32551160774557591</v>
      </c>
      <c r="T140" s="12">
        <v>20.030242000000001</v>
      </c>
      <c r="U140" s="12"/>
      <c r="V140" s="12">
        <v>0.64901861894629131</v>
      </c>
      <c r="W140" s="12">
        <v>0.64901861894629131</v>
      </c>
      <c r="X140" s="12">
        <v>0.64901861894629131</v>
      </c>
      <c r="Y140" s="12">
        <v>0</v>
      </c>
      <c r="Z140" s="12"/>
      <c r="AA140" s="12"/>
      <c r="AB140" s="11">
        <v>0</v>
      </c>
      <c r="AC140" s="12">
        <v>0</v>
      </c>
      <c r="AD140" s="11">
        <v>1</v>
      </c>
      <c r="AE140" s="13" t="b">
        <v>0</v>
      </c>
      <c r="AF140" s="10" t="s">
        <v>60</v>
      </c>
      <c r="AG140" s="10" t="s">
        <v>61</v>
      </c>
      <c r="AH140" s="10" t="s">
        <v>71</v>
      </c>
    </row>
    <row r="141" spans="1:34" ht="32.1" customHeight="1" x14ac:dyDescent="0.25">
      <c r="A141" s="10" t="s">
        <v>56</v>
      </c>
      <c r="B141" s="10" t="s">
        <v>102</v>
      </c>
      <c r="C141" s="10" t="s">
        <v>94</v>
      </c>
      <c r="D141" s="10" t="s">
        <v>70</v>
      </c>
      <c r="E141" s="10" t="s">
        <v>70</v>
      </c>
      <c r="F141" s="10" t="s">
        <v>64</v>
      </c>
      <c r="G141" s="11">
        <v>4</v>
      </c>
      <c r="H141" s="11">
        <v>5</v>
      </c>
      <c r="I141" s="11">
        <v>5</v>
      </c>
      <c r="J141" s="11">
        <v>0</v>
      </c>
      <c r="K141" s="11">
        <v>0</v>
      </c>
      <c r="L141" s="12">
        <v>49.547016284263712</v>
      </c>
      <c r="M141" s="12">
        <v>49.53479434413849</v>
      </c>
      <c r="N141" s="12">
        <v>67.410154979375051</v>
      </c>
      <c r="O141" s="12">
        <v>70.506592284428876</v>
      </c>
      <c r="P141" s="12">
        <v>37.128866167041842</v>
      </c>
      <c r="Q141" s="12">
        <v>71.280701610692333</v>
      </c>
      <c r="R141" s="12">
        <v>13.863212755889251</v>
      </c>
      <c r="S141" s="12">
        <v>0.27979914423812141</v>
      </c>
      <c r="T141" s="12">
        <v>20.030242000000001</v>
      </c>
      <c r="U141" s="12"/>
      <c r="V141" s="12">
        <v>0.24962254574857351</v>
      </c>
      <c r="W141" s="12">
        <v>0.24962254574857351</v>
      </c>
      <c r="X141" s="12">
        <v>0.24962254574857351</v>
      </c>
      <c r="Y141" s="12">
        <v>0</v>
      </c>
      <c r="Z141" s="12"/>
      <c r="AA141" s="12"/>
      <c r="AB141" s="11">
        <v>0</v>
      </c>
      <c r="AC141" s="12">
        <v>0</v>
      </c>
      <c r="AD141" s="11">
        <v>0</v>
      </c>
      <c r="AE141" s="13" t="b">
        <v>0</v>
      </c>
      <c r="AF141" s="10" t="s">
        <v>60</v>
      </c>
      <c r="AG141" s="10" t="s">
        <v>61</v>
      </c>
      <c r="AH141" s="10" t="s">
        <v>71</v>
      </c>
    </row>
    <row r="142" spans="1:34" ht="32.1" customHeight="1" x14ac:dyDescent="0.25">
      <c r="A142" s="10" t="s">
        <v>56</v>
      </c>
      <c r="B142" s="10" t="s">
        <v>103</v>
      </c>
      <c r="C142" s="10" t="s">
        <v>94</v>
      </c>
      <c r="D142" s="10" t="s">
        <v>70</v>
      </c>
      <c r="E142" s="10" t="s">
        <v>70</v>
      </c>
      <c r="F142" s="10" t="s">
        <v>5</v>
      </c>
      <c r="G142" s="11">
        <v>5</v>
      </c>
      <c r="H142" s="11">
        <v>21</v>
      </c>
      <c r="I142" s="11">
        <v>21</v>
      </c>
      <c r="J142" s="11">
        <v>0</v>
      </c>
      <c r="K142" s="11">
        <v>0</v>
      </c>
      <c r="L142" s="12">
        <v>36.056742134989157</v>
      </c>
      <c r="M142" s="12">
        <v>31.387038841420519</v>
      </c>
      <c r="N142" s="12">
        <v>67.608156992390477</v>
      </c>
      <c r="O142" s="12">
        <v>81.829920104538161</v>
      </c>
      <c r="P142" s="12">
        <v>12.1054170481368</v>
      </c>
      <c r="Q142" s="12">
        <v>85.385360882575057</v>
      </c>
      <c r="R142" s="12">
        <v>17.620054140576979</v>
      </c>
      <c r="S142" s="12">
        <v>0.4886757121486755</v>
      </c>
      <c r="T142" s="12">
        <v>20.055205999999998</v>
      </c>
      <c r="U142" s="12"/>
      <c r="V142" s="12">
        <v>1.0471096631966781</v>
      </c>
      <c r="W142" s="12">
        <v>1.0471096631966781</v>
      </c>
      <c r="X142" s="12">
        <v>1.0471096631966781</v>
      </c>
      <c r="Y142" s="12">
        <v>0</v>
      </c>
      <c r="Z142" s="12">
        <v>0</v>
      </c>
      <c r="AA142" s="12">
        <v>0</v>
      </c>
      <c r="AB142" s="11">
        <v>0</v>
      </c>
      <c r="AC142" s="12">
        <v>0</v>
      </c>
      <c r="AD142" s="11">
        <v>2</v>
      </c>
      <c r="AE142" s="13" t="b">
        <v>0</v>
      </c>
      <c r="AF142" s="10" t="s">
        <v>60</v>
      </c>
      <c r="AG142" s="10" t="s">
        <v>61</v>
      </c>
      <c r="AH142" s="10" t="s">
        <v>71</v>
      </c>
    </row>
    <row r="143" spans="1:34" ht="32.1" customHeight="1" x14ac:dyDescent="0.25">
      <c r="A143" s="10" t="s">
        <v>56</v>
      </c>
      <c r="B143" s="10" t="s">
        <v>103</v>
      </c>
      <c r="C143" s="10" t="s">
        <v>94</v>
      </c>
      <c r="D143" s="10" t="s">
        <v>70</v>
      </c>
      <c r="E143" s="10" t="s">
        <v>70</v>
      </c>
      <c r="F143" s="10" t="s">
        <v>62</v>
      </c>
      <c r="G143" s="11">
        <v>5</v>
      </c>
      <c r="H143" s="11">
        <v>3</v>
      </c>
      <c r="I143" s="11">
        <v>3</v>
      </c>
      <c r="J143" s="11">
        <v>0</v>
      </c>
      <c r="K143" s="11">
        <v>0</v>
      </c>
      <c r="L143" s="12">
        <v>68.813916987285666</v>
      </c>
      <c r="M143" s="12">
        <v>67.608156992390477</v>
      </c>
      <c r="N143" s="12">
        <v>83.607640493556602</v>
      </c>
      <c r="O143" s="12">
        <v>85.029816804771372</v>
      </c>
      <c r="P143" s="12">
        <v>53.448233086891463</v>
      </c>
      <c r="Q143" s="12">
        <v>85.385360882575057</v>
      </c>
      <c r="R143" s="12">
        <v>16.002669334627392</v>
      </c>
      <c r="S143" s="12">
        <v>0.2325498973933442</v>
      </c>
      <c r="T143" s="12">
        <v>20.055205999999998</v>
      </c>
      <c r="U143" s="12"/>
      <c r="V143" s="12">
        <v>0.1495870947423826</v>
      </c>
      <c r="W143" s="12">
        <v>0.1495870947423826</v>
      </c>
      <c r="X143" s="12">
        <v>0.1495870947423826</v>
      </c>
      <c r="Y143" s="12">
        <v>0</v>
      </c>
      <c r="Z143" s="12"/>
      <c r="AA143" s="12"/>
      <c r="AB143" s="11">
        <v>0</v>
      </c>
      <c r="AC143" s="12">
        <v>0</v>
      </c>
      <c r="AD143" s="11">
        <v>0</v>
      </c>
      <c r="AE143" s="13" t="b">
        <v>0</v>
      </c>
      <c r="AF143" s="10" t="s">
        <v>60</v>
      </c>
      <c r="AG143" s="10" t="s">
        <v>61</v>
      </c>
      <c r="AH143" s="10" t="s">
        <v>71</v>
      </c>
    </row>
    <row r="144" spans="1:34" ht="32.1" customHeight="1" x14ac:dyDescent="0.25">
      <c r="A144" s="10" t="s">
        <v>56</v>
      </c>
      <c r="B144" s="10" t="s">
        <v>103</v>
      </c>
      <c r="C144" s="10" t="s">
        <v>94</v>
      </c>
      <c r="D144" s="10" t="s">
        <v>70</v>
      </c>
      <c r="E144" s="10" t="s">
        <v>70</v>
      </c>
      <c r="F144" s="10" t="s">
        <v>63</v>
      </c>
      <c r="G144" s="11">
        <v>5</v>
      </c>
      <c r="H144" s="11">
        <v>15</v>
      </c>
      <c r="I144" s="11">
        <v>15</v>
      </c>
      <c r="J144" s="11">
        <v>0</v>
      </c>
      <c r="K144" s="11">
        <v>0</v>
      </c>
      <c r="L144" s="12">
        <v>31.587025765969688</v>
      </c>
      <c r="M144" s="12">
        <v>27.493942451098629</v>
      </c>
      <c r="N144" s="12">
        <v>48.499226868221427</v>
      </c>
      <c r="O144" s="12">
        <v>52.264948799843779</v>
      </c>
      <c r="P144" s="12">
        <v>12.1054170481368</v>
      </c>
      <c r="Q144" s="12">
        <v>53.206379282749367</v>
      </c>
      <c r="R144" s="12">
        <v>10.97363010784022</v>
      </c>
      <c r="S144" s="12">
        <v>0.34740941388861851</v>
      </c>
      <c r="T144" s="12">
        <v>20.055205999999998</v>
      </c>
      <c r="U144" s="12"/>
      <c r="V144" s="12">
        <v>0.74793547371191305</v>
      </c>
      <c r="W144" s="12">
        <v>0.74793547371191305</v>
      </c>
      <c r="X144" s="12">
        <v>0.74793547371191305</v>
      </c>
      <c r="Y144" s="12">
        <v>0</v>
      </c>
      <c r="Z144" s="12"/>
      <c r="AA144" s="12"/>
      <c r="AB144" s="11">
        <v>0</v>
      </c>
      <c r="AC144" s="12">
        <v>0</v>
      </c>
      <c r="AD144" s="11">
        <v>1</v>
      </c>
      <c r="AE144" s="13" t="b">
        <v>0</v>
      </c>
      <c r="AF144" s="10" t="s">
        <v>60</v>
      </c>
      <c r="AG144" s="10" t="s">
        <v>61</v>
      </c>
      <c r="AH144" s="10" t="s">
        <v>71</v>
      </c>
    </row>
    <row r="145" spans="1:34" ht="32.1" customHeight="1" x14ac:dyDescent="0.25">
      <c r="A145" s="10" t="s">
        <v>56</v>
      </c>
      <c r="B145" s="10" t="s">
        <v>103</v>
      </c>
      <c r="C145" s="10" t="s">
        <v>94</v>
      </c>
      <c r="D145" s="10" t="s">
        <v>70</v>
      </c>
      <c r="E145" s="10" t="s">
        <v>70</v>
      </c>
      <c r="F145" s="10" t="s">
        <v>64</v>
      </c>
      <c r="G145" s="11">
        <v>5</v>
      </c>
      <c r="H145" s="11">
        <v>3</v>
      </c>
      <c r="I145" s="11">
        <v>3</v>
      </c>
      <c r="J145" s="11">
        <v>0</v>
      </c>
      <c r="K145" s="11">
        <v>0</v>
      </c>
      <c r="L145" s="12">
        <v>25.648149127789988</v>
      </c>
      <c r="M145" s="12">
        <v>28.265345420725719</v>
      </c>
      <c r="N145" s="12">
        <v>32.711317432042243</v>
      </c>
      <c r="O145" s="12">
        <v>33.106514944159272</v>
      </c>
      <c r="P145" s="12">
        <v>15.47378764045574</v>
      </c>
      <c r="Q145" s="12">
        <v>33.205314322188528</v>
      </c>
      <c r="R145" s="12">
        <v>9.1509041598668155</v>
      </c>
      <c r="S145" s="12">
        <v>0.3567861413419392</v>
      </c>
      <c r="T145" s="12">
        <v>20.055205999999998</v>
      </c>
      <c r="U145" s="12"/>
      <c r="V145" s="12">
        <v>0.1495870947423826</v>
      </c>
      <c r="W145" s="12">
        <v>0.1495870947423826</v>
      </c>
      <c r="X145" s="12">
        <v>0.1495870947423826</v>
      </c>
      <c r="Y145" s="12">
        <v>0</v>
      </c>
      <c r="Z145" s="12"/>
      <c r="AA145" s="12"/>
      <c r="AB145" s="11">
        <v>0</v>
      </c>
      <c r="AC145" s="12">
        <v>0</v>
      </c>
      <c r="AD145" s="11">
        <v>1</v>
      </c>
      <c r="AE145" s="13" t="b">
        <v>0</v>
      </c>
      <c r="AF145" s="10" t="s">
        <v>60</v>
      </c>
      <c r="AG145" s="10" t="s">
        <v>61</v>
      </c>
      <c r="AH145" s="10" t="s">
        <v>71</v>
      </c>
    </row>
    <row r="146" spans="1:34" ht="32.1" customHeight="1" x14ac:dyDescent="0.25">
      <c r="A146" s="10" t="s">
        <v>56</v>
      </c>
      <c r="B146" s="10" t="s">
        <v>104</v>
      </c>
      <c r="C146" s="10" t="s">
        <v>94</v>
      </c>
      <c r="D146" s="10" t="s">
        <v>3</v>
      </c>
      <c r="E146" s="10" t="s">
        <v>77</v>
      </c>
      <c r="F146" s="10" t="s">
        <v>5</v>
      </c>
      <c r="G146" s="11">
        <v>1</v>
      </c>
      <c r="H146" s="11">
        <v>900</v>
      </c>
      <c r="I146" s="11">
        <v>892</v>
      </c>
      <c r="J146" s="11">
        <v>8</v>
      </c>
      <c r="K146" s="11">
        <v>0</v>
      </c>
      <c r="L146" s="12">
        <v>55.875974896663848</v>
      </c>
      <c r="M146" s="12">
        <v>45.840966884295113</v>
      </c>
      <c r="N146" s="12">
        <v>122.61946939514419</v>
      </c>
      <c r="O146" s="12">
        <v>210.93355328571661</v>
      </c>
      <c r="P146" s="12">
        <v>12.320264155747649</v>
      </c>
      <c r="Q146" s="12">
        <v>487.33871978022012</v>
      </c>
      <c r="R146" s="12">
        <v>38.477058831560619</v>
      </c>
      <c r="S146" s="12">
        <v>0.68861543628937993</v>
      </c>
      <c r="T146" s="12">
        <v>18</v>
      </c>
      <c r="U146" s="12">
        <v>50</v>
      </c>
      <c r="V146" s="12">
        <v>49.888888888888893</v>
      </c>
      <c r="W146" s="12">
        <v>50</v>
      </c>
      <c r="X146" s="12">
        <v>49.555555555555557</v>
      </c>
      <c r="Y146" s="12">
        <v>0.88888888888888884</v>
      </c>
      <c r="Z146" s="12">
        <v>3</v>
      </c>
      <c r="AA146" s="12">
        <v>0.33333333333333331</v>
      </c>
      <c r="AB146" s="11">
        <v>0</v>
      </c>
      <c r="AC146" s="12">
        <v>0</v>
      </c>
      <c r="AD146" s="11">
        <v>51</v>
      </c>
      <c r="AE146" s="13" t="b">
        <v>0</v>
      </c>
      <c r="AF146" s="10" t="s">
        <v>60</v>
      </c>
      <c r="AG146" s="10" t="s">
        <v>61</v>
      </c>
      <c r="AH146" s="10" t="s">
        <v>105</v>
      </c>
    </row>
    <row r="147" spans="1:34" ht="32.1" customHeight="1" x14ac:dyDescent="0.25">
      <c r="A147" s="10" t="s">
        <v>56</v>
      </c>
      <c r="B147" s="10" t="s">
        <v>104</v>
      </c>
      <c r="C147" s="10" t="s">
        <v>94</v>
      </c>
      <c r="D147" s="10" t="s">
        <v>3</v>
      </c>
      <c r="E147" s="10" t="s">
        <v>77</v>
      </c>
      <c r="F147" s="10" t="s">
        <v>62</v>
      </c>
      <c r="G147" s="11">
        <v>1</v>
      </c>
      <c r="H147" s="11">
        <v>83</v>
      </c>
      <c r="I147" s="11">
        <v>80</v>
      </c>
      <c r="J147" s="11">
        <v>3</v>
      </c>
      <c r="K147" s="11">
        <v>0</v>
      </c>
      <c r="L147" s="12">
        <v>131.29741304966339</v>
      </c>
      <c r="M147" s="12">
        <v>121.8478582027353</v>
      </c>
      <c r="N147" s="12">
        <v>246.76993964980289</v>
      </c>
      <c r="O147" s="12">
        <v>294.90323016901561</v>
      </c>
      <c r="P147" s="12">
        <v>42.066566902666743</v>
      </c>
      <c r="Q147" s="12">
        <v>311.02443368923662</v>
      </c>
      <c r="R147" s="12">
        <v>56.13484330428026</v>
      </c>
      <c r="S147" s="12">
        <v>0.42753959884226511</v>
      </c>
      <c r="T147" s="12">
        <v>18</v>
      </c>
      <c r="U147" s="12">
        <v>5</v>
      </c>
      <c r="V147" s="12">
        <v>4.6111111111111107</v>
      </c>
      <c r="W147" s="12">
        <v>4.6111111111111107</v>
      </c>
      <c r="X147" s="12">
        <v>4.4444444444444446</v>
      </c>
      <c r="Y147" s="12">
        <v>3.6144578313253009</v>
      </c>
      <c r="Z147" s="12"/>
      <c r="AA147" s="12"/>
      <c r="AB147" s="11">
        <v>0</v>
      </c>
      <c r="AC147" s="12">
        <v>0</v>
      </c>
      <c r="AD147" s="11">
        <v>6</v>
      </c>
      <c r="AE147" s="13" t="b">
        <v>0</v>
      </c>
      <c r="AF147" s="10" t="s">
        <v>60</v>
      </c>
      <c r="AG147" s="10" t="s">
        <v>61</v>
      </c>
      <c r="AH147" s="10" t="s">
        <v>105</v>
      </c>
    </row>
    <row r="148" spans="1:34" ht="32.1" customHeight="1" x14ac:dyDescent="0.25">
      <c r="A148" s="10" t="s">
        <v>56</v>
      </c>
      <c r="B148" s="10" t="s">
        <v>104</v>
      </c>
      <c r="C148" s="10" t="s">
        <v>94</v>
      </c>
      <c r="D148" s="10" t="s">
        <v>3</v>
      </c>
      <c r="E148" s="10" t="s">
        <v>77</v>
      </c>
      <c r="F148" s="10" t="s">
        <v>63</v>
      </c>
      <c r="G148" s="11">
        <v>1</v>
      </c>
      <c r="H148" s="11">
        <v>636</v>
      </c>
      <c r="I148" s="11">
        <v>633</v>
      </c>
      <c r="J148" s="11">
        <v>3</v>
      </c>
      <c r="K148" s="11">
        <v>0</v>
      </c>
      <c r="L148" s="12">
        <v>43.723627722037058</v>
      </c>
      <c r="M148" s="12">
        <v>40.152836284097191</v>
      </c>
      <c r="N148" s="12">
        <v>75.659034643142292</v>
      </c>
      <c r="O148" s="12">
        <v>94.477669316433804</v>
      </c>
      <c r="P148" s="12">
        <v>12.320264155747649</v>
      </c>
      <c r="Q148" s="12">
        <v>487.33871978022012</v>
      </c>
      <c r="R148" s="12">
        <v>24.350040837450049</v>
      </c>
      <c r="S148" s="12">
        <v>0.55690806335306509</v>
      </c>
      <c r="T148" s="12">
        <v>18</v>
      </c>
      <c r="U148" s="12">
        <v>35</v>
      </c>
      <c r="V148" s="12">
        <v>35.277777777777779</v>
      </c>
      <c r="W148" s="12">
        <v>35.333333333333343</v>
      </c>
      <c r="X148" s="12">
        <v>35.166666666666657</v>
      </c>
      <c r="Y148" s="12">
        <v>0.47169811320754718</v>
      </c>
      <c r="Z148" s="12"/>
      <c r="AA148" s="12"/>
      <c r="AB148" s="11">
        <v>0</v>
      </c>
      <c r="AC148" s="12">
        <v>0</v>
      </c>
      <c r="AD148" s="11">
        <v>32</v>
      </c>
      <c r="AE148" s="13" t="b">
        <v>0</v>
      </c>
      <c r="AF148" s="10" t="s">
        <v>60</v>
      </c>
      <c r="AG148" s="10" t="s">
        <v>61</v>
      </c>
      <c r="AH148" s="10" t="s">
        <v>105</v>
      </c>
    </row>
    <row r="149" spans="1:34" ht="32.1" customHeight="1" x14ac:dyDescent="0.25">
      <c r="A149" s="10" t="s">
        <v>56</v>
      </c>
      <c r="B149" s="10" t="s">
        <v>104</v>
      </c>
      <c r="C149" s="10" t="s">
        <v>94</v>
      </c>
      <c r="D149" s="10" t="s">
        <v>3</v>
      </c>
      <c r="E149" s="10" t="s">
        <v>77</v>
      </c>
      <c r="F149" s="10" t="s">
        <v>64</v>
      </c>
      <c r="G149" s="11">
        <v>1</v>
      </c>
      <c r="H149" s="11">
        <v>181</v>
      </c>
      <c r="I149" s="11">
        <v>179</v>
      </c>
      <c r="J149" s="11">
        <v>2</v>
      </c>
      <c r="K149" s="11">
        <v>0</v>
      </c>
      <c r="L149" s="12">
        <v>63.991518743977011</v>
      </c>
      <c r="M149" s="12">
        <v>60.295988386965313</v>
      </c>
      <c r="N149" s="12">
        <v>108.99036037468279</v>
      </c>
      <c r="O149" s="12">
        <v>154.63357985745651</v>
      </c>
      <c r="P149" s="12">
        <v>22.260780388821139</v>
      </c>
      <c r="Q149" s="12">
        <v>173.13343054778261</v>
      </c>
      <c r="R149" s="12">
        <v>25.61188501313644</v>
      </c>
      <c r="S149" s="12">
        <v>0.4002387428185093</v>
      </c>
      <c r="T149" s="12">
        <v>18</v>
      </c>
      <c r="U149" s="12">
        <v>10</v>
      </c>
      <c r="V149" s="12">
        <v>10</v>
      </c>
      <c r="W149" s="12">
        <v>10.055555555555561</v>
      </c>
      <c r="X149" s="12">
        <v>9.9444444444444446</v>
      </c>
      <c r="Y149" s="12">
        <v>1.104972375690608</v>
      </c>
      <c r="Z149" s="12"/>
      <c r="AA149" s="12"/>
      <c r="AB149" s="11">
        <v>0</v>
      </c>
      <c r="AC149" s="12">
        <v>0</v>
      </c>
      <c r="AD149" s="11">
        <v>13</v>
      </c>
      <c r="AE149" s="13" t="b">
        <v>0</v>
      </c>
      <c r="AF149" s="10" t="s">
        <v>60</v>
      </c>
      <c r="AG149" s="10" t="s">
        <v>61</v>
      </c>
      <c r="AH149" s="10" t="s">
        <v>105</v>
      </c>
    </row>
    <row r="150" spans="1:34" ht="32.1" customHeight="1" x14ac:dyDescent="0.25">
      <c r="A150" s="10" t="s">
        <v>56</v>
      </c>
      <c r="B150" s="10" t="s">
        <v>106</v>
      </c>
      <c r="C150" s="10" t="s">
        <v>94</v>
      </c>
      <c r="D150" s="10" t="s">
        <v>3</v>
      </c>
      <c r="E150" s="10" t="s">
        <v>77</v>
      </c>
      <c r="F150" s="10" t="s">
        <v>5</v>
      </c>
      <c r="G150" s="11">
        <v>2</v>
      </c>
      <c r="H150" s="11">
        <v>900</v>
      </c>
      <c r="I150" s="11">
        <v>895</v>
      </c>
      <c r="J150" s="11">
        <v>5</v>
      </c>
      <c r="K150" s="11">
        <v>0</v>
      </c>
      <c r="L150" s="12">
        <v>55.560785724731993</v>
      </c>
      <c r="M150" s="12">
        <v>45.035402402939198</v>
      </c>
      <c r="N150" s="12">
        <v>120.6820418587597</v>
      </c>
      <c r="O150" s="12">
        <v>200.34343290355449</v>
      </c>
      <c r="P150" s="12">
        <v>12.05564062052882</v>
      </c>
      <c r="Q150" s="12">
        <v>1072.1927512725861</v>
      </c>
      <c r="R150" s="12">
        <v>54.748436553299072</v>
      </c>
      <c r="S150" s="12">
        <v>0.98537909137106905</v>
      </c>
      <c r="T150" s="12">
        <v>18</v>
      </c>
      <c r="U150" s="12">
        <v>50</v>
      </c>
      <c r="V150" s="12">
        <v>49.888888888888893</v>
      </c>
      <c r="W150" s="12">
        <v>50</v>
      </c>
      <c r="X150" s="12">
        <v>49.722222222222221</v>
      </c>
      <c r="Y150" s="12">
        <v>0.55555555555555558</v>
      </c>
      <c r="Z150" s="12">
        <v>0</v>
      </c>
      <c r="AA150" s="12">
        <v>0</v>
      </c>
      <c r="AB150" s="11">
        <v>0</v>
      </c>
      <c r="AC150" s="12">
        <v>0</v>
      </c>
      <c r="AD150" s="11">
        <v>58</v>
      </c>
      <c r="AE150" s="13" t="b">
        <v>1</v>
      </c>
      <c r="AF150" s="10" t="s">
        <v>60</v>
      </c>
      <c r="AG150" s="10" t="s">
        <v>61</v>
      </c>
      <c r="AH150" s="12"/>
    </row>
    <row r="151" spans="1:34" ht="32.1" customHeight="1" x14ac:dyDescent="0.25">
      <c r="A151" s="10" t="s">
        <v>56</v>
      </c>
      <c r="B151" s="10" t="s">
        <v>106</v>
      </c>
      <c r="C151" s="10" t="s">
        <v>94</v>
      </c>
      <c r="D151" s="10" t="s">
        <v>3</v>
      </c>
      <c r="E151" s="10" t="s">
        <v>77</v>
      </c>
      <c r="F151" s="10" t="s">
        <v>62</v>
      </c>
      <c r="G151" s="11">
        <v>2</v>
      </c>
      <c r="H151" s="11">
        <v>70</v>
      </c>
      <c r="I151" s="11">
        <v>70</v>
      </c>
      <c r="J151" s="11">
        <v>0</v>
      </c>
      <c r="K151" s="11">
        <v>0</v>
      </c>
      <c r="L151" s="12">
        <v>141.7043155591418</v>
      </c>
      <c r="M151" s="12">
        <v>124.8268977913808</v>
      </c>
      <c r="N151" s="12">
        <v>217.86134436178739</v>
      </c>
      <c r="O151" s="12">
        <v>533.77564895743831</v>
      </c>
      <c r="P151" s="12">
        <v>51.100044868663559</v>
      </c>
      <c r="Q151" s="12">
        <v>1072.1927512725861</v>
      </c>
      <c r="R151" s="12">
        <v>123.58309768220759</v>
      </c>
      <c r="S151" s="12">
        <v>0.87211950599083121</v>
      </c>
      <c r="T151" s="12">
        <v>18</v>
      </c>
      <c r="U151" s="12">
        <v>5</v>
      </c>
      <c r="V151" s="12">
        <v>3.833333333333333</v>
      </c>
      <c r="W151" s="12">
        <v>3.8888888888888888</v>
      </c>
      <c r="X151" s="12">
        <v>3.8888888888888888</v>
      </c>
      <c r="Y151" s="12">
        <v>0</v>
      </c>
      <c r="Z151" s="12"/>
      <c r="AA151" s="12"/>
      <c r="AB151" s="11">
        <v>0</v>
      </c>
      <c r="AC151" s="12">
        <v>0</v>
      </c>
      <c r="AD151" s="11">
        <v>4</v>
      </c>
      <c r="AE151" s="13" t="b">
        <v>1</v>
      </c>
      <c r="AF151" s="10" t="s">
        <v>60</v>
      </c>
      <c r="AG151" s="10" t="s">
        <v>61</v>
      </c>
      <c r="AH151" s="12"/>
    </row>
    <row r="152" spans="1:34" ht="32.1" customHeight="1" x14ac:dyDescent="0.25">
      <c r="A152" s="10" t="s">
        <v>56</v>
      </c>
      <c r="B152" s="10" t="s">
        <v>106</v>
      </c>
      <c r="C152" s="10" t="s">
        <v>94</v>
      </c>
      <c r="D152" s="10" t="s">
        <v>3</v>
      </c>
      <c r="E152" s="10" t="s">
        <v>77</v>
      </c>
      <c r="F152" s="10" t="s">
        <v>63</v>
      </c>
      <c r="G152" s="11">
        <v>2</v>
      </c>
      <c r="H152" s="11">
        <v>640</v>
      </c>
      <c r="I152" s="11">
        <v>637</v>
      </c>
      <c r="J152" s="11">
        <v>3</v>
      </c>
      <c r="K152" s="11">
        <v>0</v>
      </c>
      <c r="L152" s="12">
        <v>44.592052217131041</v>
      </c>
      <c r="M152" s="12">
        <v>40.561953293976252</v>
      </c>
      <c r="N152" s="12">
        <v>74.872980319159268</v>
      </c>
      <c r="O152" s="12">
        <v>98.825181211996664</v>
      </c>
      <c r="P152" s="12">
        <v>12.05564062052882</v>
      </c>
      <c r="Q152" s="12">
        <v>912.23608209939039</v>
      </c>
      <c r="R152" s="12">
        <v>38.159847905247162</v>
      </c>
      <c r="S152" s="12">
        <v>0.8557544676220844</v>
      </c>
      <c r="T152" s="12">
        <v>18</v>
      </c>
      <c r="U152" s="12">
        <v>35</v>
      </c>
      <c r="V152" s="12">
        <v>35.555555555555557</v>
      </c>
      <c r="W152" s="12">
        <v>35.555555555555557</v>
      </c>
      <c r="X152" s="12">
        <v>35.388888888888893</v>
      </c>
      <c r="Y152" s="12">
        <v>0.46875</v>
      </c>
      <c r="Z152" s="12"/>
      <c r="AA152" s="12"/>
      <c r="AB152" s="11">
        <v>0</v>
      </c>
      <c r="AC152" s="12">
        <v>0</v>
      </c>
      <c r="AD152" s="11">
        <v>42</v>
      </c>
      <c r="AE152" s="13" t="b">
        <v>1</v>
      </c>
      <c r="AF152" s="10" t="s">
        <v>60</v>
      </c>
      <c r="AG152" s="10" t="s">
        <v>61</v>
      </c>
      <c r="AH152" s="12"/>
    </row>
    <row r="153" spans="1:34" ht="32.1" customHeight="1" x14ac:dyDescent="0.25">
      <c r="A153" s="10" t="s">
        <v>56</v>
      </c>
      <c r="B153" s="10" t="s">
        <v>106</v>
      </c>
      <c r="C153" s="10" t="s">
        <v>94</v>
      </c>
      <c r="D153" s="10" t="s">
        <v>3</v>
      </c>
      <c r="E153" s="10" t="s">
        <v>77</v>
      </c>
      <c r="F153" s="10" t="s">
        <v>64</v>
      </c>
      <c r="G153" s="11">
        <v>2</v>
      </c>
      <c r="H153" s="11">
        <v>190</v>
      </c>
      <c r="I153" s="11">
        <v>188</v>
      </c>
      <c r="J153" s="11">
        <v>2</v>
      </c>
      <c r="K153" s="11">
        <v>0</v>
      </c>
      <c r="L153" s="12">
        <v>60.771008653447403</v>
      </c>
      <c r="M153" s="12">
        <v>56.840418521703342</v>
      </c>
      <c r="N153" s="12">
        <v>111.7203335055251</v>
      </c>
      <c r="O153" s="12">
        <v>132.88503679141169</v>
      </c>
      <c r="P153" s="12">
        <v>18.836434899476711</v>
      </c>
      <c r="Q153" s="12">
        <v>181.44757301676529</v>
      </c>
      <c r="R153" s="12">
        <v>23.98521225478548</v>
      </c>
      <c r="S153" s="12">
        <v>0.39468181927937851</v>
      </c>
      <c r="T153" s="12">
        <v>18</v>
      </c>
      <c r="U153" s="12">
        <v>10</v>
      </c>
      <c r="V153" s="12">
        <v>10.5</v>
      </c>
      <c r="W153" s="12">
        <v>10.555555555555561</v>
      </c>
      <c r="X153" s="12">
        <v>10.444444444444439</v>
      </c>
      <c r="Y153" s="12">
        <v>1.0526315789473679</v>
      </c>
      <c r="Z153" s="12"/>
      <c r="AA153" s="12"/>
      <c r="AB153" s="11">
        <v>0</v>
      </c>
      <c r="AC153" s="12">
        <v>0</v>
      </c>
      <c r="AD153" s="11">
        <v>12</v>
      </c>
      <c r="AE153" s="13" t="b">
        <v>1</v>
      </c>
      <c r="AF153" s="10" t="s">
        <v>60</v>
      </c>
      <c r="AG153" s="10" t="s">
        <v>61</v>
      </c>
      <c r="AH153" s="12"/>
    </row>
    <row r="154" spans="1:34" ht="32.1" customHeight="1" x14ac:dyDescent="0.25">
      <c r="A154" s="10" t="s">
        <v>56</v>
      </c>
      <c r="B154" s="10" t="s">
        <v>107</v>
      </c>
      <c r="C154" s="10" t="s">
        <v>94</v>
      </c>
      <c r="D154" s="10" t="s">
        <v>3</v>
      </c>
      <c r="E154" s="10" t="s">
        <v>77</v>
      </c>
      <c r="F154" s="10" t="s">
        <v>5</v>
      </c>
      <c r="G154" s="11">
        <v>3</v>
      </c>
      <c r="H154" s="11">
        <v>900</v>
      </c>
      <c r="I154" s="11">
        <v>890</v>
      </c>
      <c r="J154" s="11">
        <v>10</v>
      </c>
      <c r="K154" s="11">
        <v>0</v>
      </c>
      <c r="L154" s="12">
        <v>49.522295610941931</v>
      </c>
      <c r="M154" s="12">
        <v>38.292576860553808</v>
      </c>
      <c r="N154" s="12">
        <v>115.7939750813198</v>
      </c>
      <c r="O154" s="12">
        <v>178.79514950915231</v>
      </c>
      <c r="P154" s="12">
        <v>10.28891357606056</v>
      </c>
      <c r="Q154" s="12">
        <v>611.91704804452695</v>
      </c>
      <c r="R154" s="12">
        <v>38.264702392105491</v>
      </c>
      <c r="S154" s="12">
        <v>0.77267626470148754</v>
      </c>
      <c r="T154" s="12">
        <v>18</v>
      </c>
      <c r="U154" s="12">
        <v>50</v>
      </c>
      <c r="V154" s="12">
        <v>49.833333333333343</v>
      </c>
      <c r="W154" s="12">
        <v>50</v>
      </c>
      <c r="X154" s="12">
        <v>49.444444444444443</v>
      </c>
      <c r="Y154" s="12">
        <v>1.1111111111111109</v>
      </c>
      <c r="Z154" s="12">
        <v>0</v>
      </c>
      <c r="AA154" s="12">
        <v>0</v>
      </c>
      <c r="AB154" s="11">
        <v>0</v>
      </c>
      <c r="AC154" s="12">
        <v>0</v>
      </c>
      <c r="AD154" s="11">
        <v>47</v>
      </c>
      <c r="AE154" s="13" t="b">
        <v>1</v>
      </c>
      <c r="AF154" s="10" t="s">
        <v>60</v>
      </c>
      <c r="AG154" s="10" t="s">
        <v>61</v>
      </c>
      <c r="AH154" s="12"/>
    </row>
    <row r="155" spans="1:34" ht="32.1" customHeight="1" x14ac:dyDescent="0.25">
      <c r="A155" s="10" t="s">
        <v>56</v>
      </c>
      <c r="B155" s="10" t="s">
        <v>107</v>
      </c>
      <c r="C155" s="10" t="s">
        <v>94</v>
      </c>
      <c r="D155" s="10" t="s">
        <v>3</v>
      </c>
      <c r="E155" s="10" t="s">
        <v>77</v>
      </c>
      <c r="F155" s="10" t="s">
        <v>62</v>
      </c>
      <c r="G155" s="11">
        <v>3</v>
      </c>
      <c r="H155" s="11">
        <v>107</v>
      </c>
      <c r="I155" s="11">
        <v>105</v>
      </c>
      <c r="J155" s="11">
        <v>2</v>
      </c>
      <c r="K155" s="11">
        <v>0</v>
      </c>
      <c r="L155" s="12">
        <v>115.45414970088051</v>
      </c>
      <c r="M155" s="12">
        <v>108.5796022558648</v>
      </c>
      <c r="N155" s="12">
        <v>197.2061567677537</v>
      </c>
      <c r="O155" s="12">
        <v>241.47437232680809</v>
      </c>
      <c r="P155" s="12">
        <v>35.379918811968857</v>
      </c>
      <c r="Q155" s="12">
        <v>266.62688710248659</v>
      </c>
      <c r="R155" s="12">
        <v>45.301794939658173</v>
      </c>
      <c r="S155" s="12">
        <v>0.39237909643807861</v>
      </c>
      <c r="T155" s="12">
        <v>18</v>
      </c>
      <c r="U155" s="12">
        <v>5</v>
      </c>
      <c r="V155" s="12">
        <v>5.8888888888888893</v>
      </c>
      <c r="W155" s="12">
        <v>5.9444444444444446</v>
      </c>
      <c r="X155" s="12">
        <v>5.833333333333333</v>
      </c>
      <c r="Y155" s="12">
        <v>1.8691588785046731</v>
      </c>
      <c r="Z155" s="12"/>
      <c r="AA155" s="12"/>
      <c r="AB155" s="11">
        <v>0</v>
      </c>
      <c r="AC155" s="12">
        <v>0</v>
      </c>
      <c r="AD155" s="11">
        <v>5</v>
      </c>
      <c r="AE155" s="13" t="b">
        <v>1</v>
      </c>
      <c r="AF155" s="10" t="s">
        <v>60</v>
      </c>
      <c r="AG155" s="10" t="s">
        <v>61</v>
      </c>
      <c r="AH155" s="12"/>
    </row>
    <row r="156" spans="1:34" ht="32.1" customHeight="1" x14ac:dyDescent="0.25">
      <c r="A156" s="10" t="s">
        <v>56</v>
      </c>
      <c r="B156" s="10" t="s">
        <v>107</v>
      </c>
      <c r="C156" s="10" t="s">
        <v>94</v>
      </c>
      <c r="D156" s="10" t="s">
        <v>3</v>
      </c>
      <c r="E156" s="10" t="s">
        <v>77</v>
      </c>
      <c r="F156" s="10" t="s">
        <v>63</v>
      </c>
      <c r="G156" s="11">
        <v>3</v>
      </c>
      <c r="H156" s="11">
        <v>628</v>
      </c>
      <c r="I156" s="11">
        <v>621</v>
      </c>
      <c r="J156" s="11">
        <v>7</v>
      </c>
      <c r="K156" s="11">
        <v>0</v>
      </c>
      <c r="L156" s="12">
        <v>36.824108912175483</v>
      </c>
      <c r="M156" s="12">
        <v>33.057049306196838</v>
      </c>
      <c r="N156" s="12">
        <v>62.407480202173879</v>
      </c>
      <c r="O156" s="12">
        <v>81.555609358637753</v>
      </c>
      <c r="P156" s="12">
        <v>10.28891357606056</v>
      </c>
      <c r="Q156" s="12">
        <v>611.91704804452695</v>
      </c>
      <c r="R156" s="12">
        <v>26.81440067150449</v>
      </c>
      <c r="S156" s="12">
        <v>0.72817514024456442</v>
      </c>
      <c r="T156" s="12">
        <v>18</v>
      </c>
      <c r="U156" s="12">
        <v>35</v>
      </c>
      <c r="V156" s="12">
        <v>34.833333333333343</v>
      </c>
      <c r="W156" s="12">
        <v>34.888888888888893</v>
      </c>
      <c r="X156" s="12">
        <v>34.5</v>
      </c>
      <c r="Y156" s="12">
        <v>1.114649681528662</v>
      </c>
      <c r="Z156" s="12"/>
      <c r="AA156" s="12"/>
      <c r="AB156" s="11">
        <v>0</v>
      </c>
      <c r="AC156" s="12">
        <v>0</v>
      </c>
      <c r="AD156" s="11">
        <v>31</v>
      </c>
      <c r="AE156" s="13" t="b">
        <v>1</v>
      </c>
      <c r="AF156" s="10" t="s">
        <v>60</v>
      </c>
      <c r="AG156" s="10" t="s">
        <v>61</v>
      </c>
      <c r="AH156" s="12"/>
    </row>
    <row r="157" spans="1:34" ht="32.1" customHeight="1" x14ac:dyDescent="0.25">
      <c r="A157" s="10" t="s">
        <v>56</v>
      </c>
      <c r="B157" s="10" t="s">
        <v>107</v>
      </c>
      <c r="C157" s="10" t="s">
        <v>94</v>
      </c>
      <c r="D157" s="10" t="s">
        <v>3</v>
      </c>
      <c r="E157" s="10" t="s">
        <v>77</v>
      </c>
      <c r="F157" s="10" t="s">
        <v>64</v>
      </c>
      <c r="G157" s="11">
        <v>3</v>
      </c>
      <c r="H157" s="11">
        <v>165</v>
      </c>
      <c r="I157" s="11">
        <v>164</v>
      </c>
      <c r="J157" s="11">
        <v>1</v>
      </c>
      <c r="K157" s="11">
        <v>0</v>
      </c>
      <c r="L157" s="12">
        <v>55.096555363680771</v>
      </c>
      <c r="M157" s="12">
        <v>51.442963583052077</v>
      </c>
      <c r="N157" s="12">
        <v>95.340494975497904</v>
      </c>
      <c r="O157" s="12">
        <v>127.18974425836321</v>
      </c>
      <c r="P157" s="12">
        <v>19.974686057446071</v>
      </c>
      <c r="Q157" s="12">
        <v>130.2797821936089</v>
      </c>
      <c r="R157" s="12">
        <v>21.587459541917902</v>
      </c>
      <c r="S157" s="12">
        <v>0.39181141905194661</v>
      </c>
      <c r="T157" s="12">
        <v>18</v>
      </c>
      <c r="U157" s="12">
        <v>10</v>
      </c>
      <c r="V157" s="12">
        <v>9.1111111111111107</v>
      </c>
      <c r="W157" s="12">
        <v>9.1666666666666661</v>
      </c>
      <c r="X157" s="12">
        <v>9.1111111111111107</v>
      </c>
      <c r="Y157" s="12">
        <v>0.60606060606060608</v>
      </c>
      <c r="Z157" s="12"/>
      <c r="AA157" s="12"/>
      <c r="AB157" s="11">
        <v>0</v>
      </c>
      <c r="AC157" s="12">
        <v>0</v>
      </c>
      <c r="AD157" s="11">
        <v>11</v>
      </c>
      <c r="AE157" s="13" t="b">
        <v>1</v>
      </c>
      <c r="AF157" s="10" t="s">
        <v>60</v>
      </c>
      <c r="AG157" s="10" t="s">
        <v>61</v>
      </c>
      <c r="AH157" s="12"/>
    </row>
    <row r="158" spans="1:34" ht="32.1" customHeight="1" x14ac:dyDescent="0.25">
      <c r="A158" s="10" t="s">
        <v>56</v>
      </c>
      <c r="B158" s="10" t="s">
        <v>108</v>
      </c>
      <c r="C158" s="10" t="s">
        <v>94</v>
      </c>
      <c r="D158" s="10" t="s">
        <v>3</v>
      </c>
      <c r="E158" s="10" t="s">
        <v>77</v>
      </c>
      <c r="F158" s="10" t="s">
        <v>5</v>
      </c>
      <c r="G158" s="11">
        <v>4</v>
      </c>
      <c r="H158" s="11">
        <v>900</v>
      </c>
      <c r="I158" s="11">
        <v>888</v>
      </c>
      <c r="J158" s="11">
        <v>12</v>
      </c>
      <c r="K158" s="11">
        <v>0</v>
      </c>
      <c r="L158" s="12">
        <v>53.16625646122128</v>
      </c>
      <c r="M158" s="12">
        <v>41.245718786437543</v>
      </c>
      <c r="N158" s="12">
        <v>122.0052886323335</v>
      </c>
      <c r="O158" s="12">
        <v>196.85899586767371</v>
      </c>
      <c r="P158" s="12">
        <v>13.239310267853821</v>
      </c>
      <c r="Q158" s="12">
        <v>677.13513745172156</v>
      </c>
      <c r="R158" s="12">
        <v>47.585919814415107</v>
      </c>
      <c r="S158" s="12">
        <v>0.89503988021281145</v>
      </c>
      <c r="T158" s="12">
        <v>18</v>
      </c>
      <c r="U158" s="12">
        <v>50</v>
      </c>
      <c r="V158" s="12">
        <v>49.888888888888893</v>
      </c>
      <c r="W158" s="12">
        <v>50</v>
      </c>
      <c r="X158" s="12">
        <v>49.333333333333343</v>
      </c>
      <c r="Y158" s="12">
        <v>1.333333333333333</v>
      </c>
      <c r="Z158" s="12">
        <v>0</v>
      </c>
      <c r="AA158" s="12">
        <v>0</v>
      </c>
      <c r="AB158" s="11">
        <v>0</v>
      </c>
      <c r="AC158" s="12">
        <v>0</v>
      </c>
      <c r="AD158" s="11">
        <v>49</v>
      </c>
      <c r="AE158" s="13" t="b">
        <v>1</v>
      </c>
      <c r="AF158" s="10" t="s">
        <v>60</v>
      </c>
      <c r="AG158" s="10" t="s">
        <v>61</v>
      </c>
      <c r="AH158" s="12"/>
    </row>
    <row r="159" spans="1:34" ht="32.1" customHeight="1" x14ac:dyDescent="0.25">
      <c r="A159" s="10" t="s">
        <v>56</v>
      </c>
      <c r="B159" s="10" t="s">
        <v>108</v>
      </c>
      <c r="C159" s="10" t="s">
        <v>94</v>
      </c>
      <c r="D159" s="10" t="s">
        <v>3</v>
      </c>
      <c r="E159" s="10" t="s">
        <v>77</v>
      </c>
      <c r="F159" s="10" t="s">
        <v>62</v>
      </c>
      <c r="G159" s="11">
        <v>4</v>
      </c>
      <c r="H159" s="11">
        <v>88</v>
      </c>
      <c r="I159" s="11">
        <v>88</v>
      </c>
      <c r="J159" s="11">
        <v>0</v>
      </c>
      <c r="K159" s="11">
        <v>0</v>
      </c>
      <c r="L159" s="12">
        <v>122.9096304067296</v>
      </c>
      <c r="M159" s="12">
        <v>112.3345565837522</v>
      </c>
      <c r="N159" s="12">
        <v>231.58280338552211</v>
      </c>
      <c r="O159" s="12">
        <v>336.99237982791158</v>
      </c>
      <c r="P159" s="12">
        <v>41.917493524758648</v>
      </c>
      <c r="Q159" s="12">
        <v>363.55909034594288</v>
      </c>
      <c r="R159" s="12">
        <v>55.215849193600043</v>
      </c>
      <c r="S159" s="12">
        <v>0.44923940468196899</v>
      </c>
      <c r="T159" s="12">
        <v>18</v>
      </c>
      <c r="U159" s="12">
        <v>5</v>
      </c>
      <c r="V159" s="12">
        <v>4.8888888888888893</v>
      </c>
      <c r="W159" s="12">
        <v>4.8888888888888893</v>
      </c>
      <c r="X159" s="12">
        <v>4.8888888888888893</v>
      </c>
      <c r="Y159" s="12">
        <v>0</v>
      </c>
      <c r="Z159" s="12"/>
      <c r="AA159" s="12"/>
      <c r="AB159" s="11">
        <v>0</v>
      </c>
      <c r="AC159" s="12">
        <v>0</v>
      </c>
      <c r="AD159" s="11">
        <v>2</v>
      </c>
      <c r="AE159" s="13" t="b">
        <v>1</v>
      </c>
      <c r="AF159" s="10" t="s">
        <v>60</v>
      </c>
      <c r="AG159" s="10" t="s">
        <v>61</v>
      </c>
      <c r="AH159" s="12"/>
    </row>
    <row r="160" spans="1:34" ht="32.1" customHeight="1" x14ac:dyDescent="0.25">
      <c r="A160" s="10" t="s">
        <v>56</v>
      </c>
      <c r="B160" s="10" t="s">
        <v>108</v>
      </c>
      <c r="C160" s="10" t="s">
        <v>94</v>
      </c>
      <c r="D160" s="10" t="s">
        <v>3</v>
      </c>
      <c r="E160" s="10" t="s">
        <v>77</v>
      </c>
      <c r="F160" s="10" t="s">
        <v>63</v>
      </c>
      <c r="G160" s="11">
        <v>4</v>
      </c>
      <c r="H160" s="11">
        <v>611</v>
      </c>
      <c r="I160" s="11">
        <v>604</v>
      </c>
      <c r="J160" s="11">
        <v>7</v>
      </c>
      <c r="K160" s="11">
        <v>0</v>
      </c>
      <c r="L160" s="12">
        <v>40.745086092460042</v>
      </c>
      <c r="M160" s="12">
        <v>35.42915495142784</v>
      </c>
      <c r="N160" s="12">
        <v>69.376437103862543</v>
      </c>
      <c r="O160" s="12">
        <v>89.413535825773707</v>
      </c>
      <c r="P160" s="12">
        <v>13.239310267853821</v>
      </c>
      <c r="Q160" s="12">
        <v>677.13513745172156</v>
      </c>
      <c r="R160" s="12">
        <v>42.891277877502198</v>
      </c>
      <c r="S160" s="12">
        <v>1.052673634807691</v>
      </c>
      <c r="T160" s="12">
        <v>18</v>
      </c>
      <c r="U160" s="12">
        <v>35</v>
      </c>
      <c r="V160" s="12">
        <v>33.833333333333343</v>
      </c>
      <c r="W160" s="12">
        <v>33.944444444444443</v>
      </c>
      <c r="X160" s="12">
        <v>33.555555555555557</v>
      </c>
      <c r="Y160" s="12">
        <v>1.1456628477905071</v>
      </c>
      <c r="Z160" s="12"/>
      <c r="AA160" s="12"/>
      <c r="AB160" s="11">
        <v>0</v>
      </c>
      <c r="AC160" s="12">
        <v>0</v>
      </c>
      <c r="AD160" s="11">
        <v>38</v>
      </c>
      <c r="AE160" s="13" t="b">
        <v>1</v>
      </c>
      <c r="AF160" s="10" t="s">
        <v>60</v>
      </c>
      <c r="AG160" s="10" t="s">
        <v>61</v>
      </c>
      <c r="AH160" s="12"/>
    </row>
    <row r="161" spans="1:34" ht="32.1" customHeight="1" x14ac:dyDescent="0.25">
      <c r="A161" s="10" t="s">
        <v>56</v>
      </c>
      <c r="B161" s="10" t="s">
        <v>108</v>
      </c>
      <c r="C161" s="10" t="s">
        <v>94</v>
      </c>
      <c r="D161" s="10" t="s">
        <v>3</v>
      </c>
      <c r="E161" s="10" t="s">
        <v>77</v>
      </c>
      <c r="F161" s="10" t="s">
        <v>64</v>
      </c>
      <c r="G161" s="11">
        <v>4</v>
      </c>
      <c r="H161" s="11">
        <v>201</v>
      </c>
      <c r="I161" s="11">
        <v>196</v>
      </c>
      <c r="J161" s="11">
        <v>5</v>
      </c>
      <c r="K161" s="11">
        <v>0</v>
      </c>
      <c r="L161" s="12">
        <v>60.389730033899802</v>
      </c>
      <c r="M161" s="12">
        <v>54.785385844725873</v>
      </c>
      <c r="N161" s="12">
        <v>107.47639526760381</v>
      </c>
      <c r="O161" s="12">
        <v>133.3902341925797</v>
      </c>
      <c r="P161" s="12">
        <v>19.55753662895992</v>
      </c>
      <c r="Q161" s="12">
        <v>173.6364366698736</v>
      </c>
      <c r="R161" s="12">
        <v>24.028577873936388</v>
      </c>
      <c r="S161" s="12">
        <v>0.39789179154217008</v>
      </c>
      <c r="T161" s="12">
        <v>18</v>
      </c>
      <c r="U161" s="12">
        <v>10</v>
      </c>
      <c r="V161" s="12">
        <v>11.16666666666667</v>
      </c>
      <c r="W161" s="12">
        <v>11.16666666666667</v>
      </c>
      <c r="X161" s="12">
        <v>10.888888888888889</v>
      </c>
      <c r="Y161" s="12">
        <v>2.4875621890547261</v>
      </c>
      <c r="Z161" s="12"/>
      <c r="AA161" s="12"/>
      <c r="AB161" s="11">
        <v>0</v>
      </c>
      <c r="AC161" s="12">
        <v>0</v>
      </c>
      <c r="AD161" s="11">
        <v>9</v>
      </c>
      <c r="AE161" s="13" t="b">
        <v>1</v>
      </c>
      <c r="AF161" s="10" t="s">
        <v>60</v>
      </c>
      <c r="AG161" s="10" t="s">
        <v>61</v>
      </c>
      <c r="AH161" s="12"/>
    </row>
    <row r="162" spans="1:34" ht="32.1" customHeight="1" x14ac:dyDescent="0.25">
      <c r="A162" s="10" t="s">
        <v>56</v>
      </c>
      <c r="B162" s="10" t="s">
        <v>109</v>
      </c>
      <c r="C162" s="10" t="s">
        <v>94</v>
      </c>
      <c r="D162" s="10" t="s">
        <v>3</v>
      </c>
      <c r="E162" s="10" t="s">
        <v>77</v>
      </c>
      <c r="F162" s="10" t="s">
        <v>5</v>
      </c>
      <c r="G162" s="11">
        <v>5</v>
      </c>
      <c r="H162" s="11">
        <v>900</v>
      </c>
      <c r="I162" s="11">
        <v>892</v>
      </c>
      <c r="J162" s="11">
        <v>8</v>
      </c>
      <c r="K162" s="11">
        <v>0</v>
      </c>
      <c r="L162" s="12">
        <v>63.69570467958652</v>
      </c>
      <c r="M162" s="12">
        <v>46.914834031249562</v>
      </c>
      <c r="N162" s="12">
        <v>145.93683523724269</v>
      </c>
      <c r="O162" s="12">
        <v>317.27911107783899</v>
      </c>
      <c r="P162" s="12">
        <v>11.016586446049811</v>
      </c>
      <c r="Q162" s="12">
        <v>1053.3311847167799</v>
      </c>
      <c r="R162" s="12">
        <v>74.237929669925677</v>
      </c>
      <c r="S162" s="12">
        <v>1.165509197886585</v>
      </c>
      <c r="T162" s="12">
        <v>18</v>
      </c>
      <c r="U162" s="12">
        <v>50</v>
      </c>
      <c r="V162" s="12">
        <v>49.944444444444443</v>
      </c>
      <c r="W162" s="12">
        <v>50</v>
      </c>
      <c r="X162" s="12">
        <v>49.555555555555557</v>
      </c>
      <c r="Y162" s="12">
        <v>0.88888888888888884</v>
      </c>
      <c r="Z162" s="12">
        <v>0</v>
      </c>
      <c r="AA162" s="12">
        <v>0</v>
      </c>
      <c r="AB162" s="11">
        <v>0</v>
      </c>
      <c r="AC162" s="12">
        <v>0</v>
      </c>
      <c r="AD162" s="11">
        <v>40</v>
      </c>
      <c r="AE162" s="13" t="b">
        <v>1</v>
      </c>
      <c r="AF162" s="10" t="s">
        <v>60</v>
      </c>
      <c r="AG162" s="10" t="s">
        <v>61</v>
      </c>
      <c r="AH162" s="12"/>
    </row>
    <row r="163" spans="1:34" ht="32.1" customHeight="1" x14ac:dyDescent="0.25">
      <c r="A163" s="10" t="s">
        <v>56</v>
      </c>
      <c r="B163" s="10" t="s">
        <v>109</v>
      </c>
      <c r="C163" s="10" t="s">
        <v>94</v>
      </c>
      <c r="D163" s="10" t="s">
        <v>3</v>
      </c>
      <c r="E163" s="10" t="s">
        <v>77</v>
      </c>
      <c r="F163" s="10" t="s">
        <v>62</v>
      </c>
      <c r="G163" s="11">
        <v>5</v>
      </c>
      <c r="H163" s="11">
        <v>97</v>
      </c>
      <c r="I163" s="11">
        <v>97</v>
      </c>
      <c r="J163" s="11">
        <v>0</v>
      </c>
      <c r="K163" s="11">
        <v>0</v>
      </c>
      <c r="L163" s="12">
        <v>139.9786411614034</v>
      </c>
      <c r="M163" s="12">
        <v>131.00210077115551</v>
      </c>
      <c r="N163" s="12">
        <v>239.6561672331579</v>
      </c>
      <c r="O163" s="12">
        <v>325.24667301651567</v>
      </c>
      <c r="P163" s="12">
        <v>50.22217178328259</v>
      </c>
      <c r="Q163" s="12">
        <v>392.77471572092361</v>
      </c>
      <c r="R163" s="12">
        <v>57.050473602107957</v>
      </c>
      <c r="S163" s="12">
        <v>0.40756556235122687</v>
      </c>
      <c r="T163" s="12">
        <v>18</v>
      </c>
      <c r="U163" s="12">
        <v>5</v>
      </c>
      <c r="V163" s="12">
        <v>5.3888888888888893</v>
      </c>
      <c r="W163" s="12">
        <v>5.3888888888888893</v>
      </c>
      <c r="X163" s="12">
        <v>5.3888888888888893</v>
      </c>
      <c r="Y163" s="12">
        <v>0</v>
      </c>
      <c r="Z163" s="12"/>
      <c r="AA163" s="12"/>
      <c r="AB163" s="11">
        <v>0</v>
      </c>
      <c r="AC163" s="12">
        <v>0</v>
      </c>
      <c r="AD163" s="11">
        <v>2</v>
      </c>
      <c r="AE163" s="13" t="b">
        <v>1</v>
      </c>
      <c r="AF163" s="10" t="s">
        <v>60</v>
      </c>
      <c r="AG163" s="10" t="s">
        <v>61</v>
      </c>
      <c r="AH163" s="12"/>
    </row>
    <row r="164" spans="1:34" ht="32.1" customHeight="1" x14ac:dyDescent="0.25">
      <c r="A164" s="10" t="s">
        <v>56</v>
      </c>
      <c r="B164" s="10" t="s">
        <v>109</v>
      </c>
      <c r="C164" s="10" t="s">
        <v>94</v>
      </c>
      <c r="D164" s="10" t="s">
        <v>3</v>
      </c>
      <c r="E164" s="10" t="s">
        <v>77</v>
      </c>
      <c r="F164" s="10" t="s">
        <v>63</v>
      </c>
      <c r="G164" s="11">
        <v>5</v>
      </c>
      <c r="H164" s="11">
        <v>621</v>
      </c>
      <c r="I164" s="11">
        <v>614</v>
      </c>
      <c r="J164" s="11">
        <v>7</v>
      </c>
      <c r="K164" s="11">
        <v>0</v>
      </c>
      <c r="L164" s="12">
        <v>46.134856720578817</v>
      </c>
      <c r="M164" s="12">
        <v>40.630480527813411</v>
      </c>
      <c r="N164" s="12">
        <v>73.165434550356181</v>
      </c>
      <c r="O164" s="12">
        <v>93.082637969483145</v>
      </c>
      <c r="P164" s="12">
        <v>11.016586446049811</v>
      </c>
      <c r="Q164" s="12">
        <v>803.05451983370801</v>
      </c>
      <c r="R164" s="12">
        <v>46.10998947449486</v>
      </c>
      <c r="S164" s="12">
        <v>0.9994609878982702</v>
      </c>
      <c r="T164" s="12">
        <v>18</v>
      </c>
      <c r="U164" s="12">
        <v>35</v>
      </c>
      <c r="V164" s="12">
        <v>34.444444444444443</v>
      </c>
      <c r="W164" s="12">
        <v>34.5</v>
      </c>
      <c r="X164" s="12">
        <v>34.111111111111107</v>
      </c>
      <c r="Y164" s="12">
        <v>1.1272141706924319</v>
      </c>
      <c r="Z164" s="12"/>
      <c r="AA164" s="12"/>
      <c r="AB164" s="11">
        <v>0</v>
      </c>
      <c r="AC164" s="12">
        <v>0</v>
      </c>
      <c r="AD164" s="11">
        <v>29</v>
      </c>
      <c r="AE164" s="13" t="b">
        <v>1</v>
      </c>
      <c r="AF164" s="10" t="s">
        <v>60</v>
      </c>
      <c r="AG164" s="10" t="s">
        <v>61</v>
      </c>
      <c r="AH164" s="12"/>
    </row>
    <row r="165" spans="1:34" ht="32.1" customHeight="1" x14ac:dyDescent="0.25">
      <c r="A165" s="10" t="s">
        <v>56</v>
      </c>
      <c r="B165" s="10" t="s">
        <v>109</v>
      </c>
      <c r="C165" s="10" t="s">
        <v>94</v>
      </c>
      <c r="D165" s="10" t="s">
        <v>3</v>
      </c>
      <c r="E165" s="10" t="s">
        <v>77</v>
      </c>
      <c r="F165" s="10" t="s">
        <v>64</v>
      </c>
      <c r="G165" s="11">
        <v>5</v>
      </c>
      <c r="H165" s="11">
        <v>182</v>
      </c>
      <c r="I165" s="11">
        <v>181</v>
      </c>
      <c r="J165" s="11">
        <v>1</v>
      </c>
      <c r="K165" s="11">
        <v>0</v>
      </c>
      <c r="L165" s="12">
        <v>82.958571403803845</v>
      </c>
      <c r="M165" s="12">
        <v>64.145006034018195</v>
      </c>
      <c r="N165" s="12">
        <v>112.7948144812742</v>
      </c>
      <c r="O165" s="12">
        <v>738.94816089499716</v>
      </c>
      <c r="P165" s="12">
        <v>23.36646532012886</v>
      </c>
      <c r="Q165" s="12">
        <v>1053.3311847167799</v>
      </c>
      <c r="R165" s="12">
        <v>117.53649864352511</v>
      </c>
      <c r="S165" s="12">
        <v>1.416809579222525</v>
      </c>
      <c r="T165" s="12">
        <v>18</v>
      </c>
      <c r="U165" s="12">
        <v>10</v>
      </c>
      <c r="V165" s="12">
        <v>10.111111111111111</v>
      </c>
      <c r="W165" s="12">
        <v>10.111111111111111</v>
      </c>
      <c r="X165" s="12">
        <v>10.055555555555561</v>
      </c>
      <c r="Y165" s="12">
        <v>0.5494505494505495</v>
      </c>
      <c r="Z165" s="12"/>
      <c r="AA165" s="12"/>
      <c r="AB165" s="11">
        <v>0</v>
      </c>
      <c r="AC165" s="12">
        <v>0</v>
      </c>
      <c r="AD165" s="11">
        <v>9</v>
      </c>
      <c r="AE165" s="13" t="b">
        <v>1</v>
      </c>
      <c r="AF165" s="10" t="s">
        <v>60</v>
      </c>
      <c r="AG165" s="10" t="s">
        <v>61</v>
      </c>
      <c r="AH165" s="12"/>
    </row>
    <row r="166" spans="1:34" ht="32.1" customHeight="1" x14ac:dyDescent="0.25">
      <c r="A166" s="10" t="s">
        <v>56</v>
      </c>
      <c r="B166" s="10" t="s">
        <v>110</v>
      </c>
      <c r="C166" s="10" t="s">
        <v>94</v>
      </c>
      <c r="D166" s="10" t="s">
        <v>3</v>
      </c>
      <c r="E166" s="10" t="s">
        <v>83</v>
      </c>
      <c r="F166" s="10" t="s">
        <v>5</v>
      </c>
      <c r="G166" s="11">
        <v>1</v>
      </c>
      <c r="H166" s="11">
        <v>90</v>
      </c>
      <c r="I166" s="11">
        <v>87</v>
      </c>
      <c r="J166" s="11">
        <v>3</v>
      </c>
      <c r="K166" s="11">
        <v>0</v>
      </c>
      <c r="L166" s="12">
        <v>60.456292620719267</v>
      </c>
      <c r="M166" s="12">
        <v>40.111746576980778</v>
      </c>
      <c r="N166" s="12">
        <v>107.1664845401816</v>
      </c>
      <c r="O166" s="12">
        <v>288.13343410343532</v>
      </c>
      <c r="P166" s="12">
        <v>10.449609078163</v>
      </c>
      <c r="Q166" s="12">
        <v>1175.9993000703359</v>
      </c>
      <c r="R166" s="12">
        <v>122.7651783251454</v>
      </c>
      <c r="S166" s="12">
        <v>2.0306435112607608</v>
      </c>
      <c r="T166" s="12">
        <v>18</v>
      </c>
      <c r="U166" s="12">
        <v>5</v>
      </c>
      <c r="V166" s="12">
        <v>5</v>
      </c>
      <c r="W166" s="12">
        <v>5</v>
      </c>
      <c r="X166" s="12">
        <v>4.833333333333333</v>
      </c>
      <c r="Y166" s="12">
        <v>3.333333333333333</v>
      </c>
      <c r="Z166" s="12">
        <v>0</v>
      </c>
      <c r="AA166" s="12">
        <v>0</v>
      </c>
      <c r="AB166" s="11">
        <v>0</v>
      </c>
      <c r="AC166" s="12">
        <v>0</v>
      </c>
      <c r="AD166" s="11">
        <v>4</v>
      </c>
      <c r="AE166" s="13" t="b">
        <v>1</v>
      </c>
      <c r="AF166" s="10" t="s">
        <v>60</v>
      </c>
      <c r="AG166" s="10" t="s">
        <v>61</v>
      </c>
      <c r="AH166" s="12"/>
    </row>
    <row r="167" spans="1:34" ht="32.1" customHeight="1" x14ac:dyDescent="0.25">
      <c r="A167" s="10" t="s">
        <v>56</v>
      </c>
      <c r="B167" s="10" t="s">
        <v>110</v>
      </c>
      <c r="C167" s="10" t="s">
        <v>94</v>
      </c>
      <c r="D167" s="10" t="s">
        <v>3</v>
      </c>
      <c r="E167" s="10" t="s">
        <v>83</v>
      </c>
      <c r="F167" s="10" t="s">
        <v>62</v>
      </c>
      <c r="G167" s="11">
        <v>1</v>
      </c>
      <c r="H167" s="11">
        <v>14</v>
      </c>
      <c r="I167" s="11">
        <v>14</v>
      </c>
      <c r="J167" s="11">
        <v>0</v>
      </c>
      <c r="K167" s="11">
        <v>0</v>
      </c>
      <c r="L167" s="12">
        <v>95.262680477761464</v>
      </c>
      <c r="M167" s="12">
        <v>89.431410017261925</v>
      </c>
      <c r="N167" s="12">
        <v>173.2755934558914</v>
      </c>
      <c r="O167" s="12">
        <v>177.3728814738289</v>
      </c>
      <c r="P167" s="12">
        <v>41.11549327940169</v>
      </c>
      <c r="Q167" s="12">
        <v>178.39720347831329</v>
      </c>
      <c r="R167" s="12">
        <v>40.963234269888638</v>
      </c>
      <c r="S167" s="12">
        <v>0.43000295671347682</v>
      </c>
      <c r="T167" s="12">
        <v>18</v>
      </c>
      <c r="U167" s="12">
        <v>0.5</v>
      </c>
      <c r="V167" s="12">
        <v>0.77777777777777779</v>
      </c>
      <c r="W167" s="12">
        <v>0.77777777777777779</v>
      </c>
      <c r="X167" s="12">
        <v>0.77777777777777779</v>
      </c>
      <c r="Y167" s="12">
        <v>0</v>
      </c>
      <c r="Z167" s="12"/>
      <c r="AA167" s="12"/>
      <c r="AB167" s="11">
        <v>0</v>
      </c>
      <c r="AC167" s="12">
        <v>0</v>
      </c>
      <c r="AD167" s="11">
        <v>2</v>
      </c>
      <c r="AE167" s="13" t="b">
        <v>0</v>
      </c>
      <c r="AF167" s="10" t="s">
        <v>60</v>
      </c>
      <c r="AG167" s="10" t="s">
        <v>61</v>
      </c>
      <c r="AH167" s="10" t="s">
        <v>71</v>
      </c>
    </row>
    <row r="168" spans="1:34" ht="32.1" customHeight="1" x14ac:dyDescent="0.25">
      <c r="A168" s="10" t="s">
        <v>56</v>
      </c>
      <c r="B168" s="10" t="s">
        <v>110</v>
      </c>
      <c r="C168" s="10" t="s">
        <v>94</v>
      </c>
      <c r="D168" s="10" t="s">
        <v>3</v>
      </c>
      <c r="E168" s="10" t="s">
        <v>83</v>
      </c>
      <c r="F168" s="10" t="s">
        <v>63</v>
      </c>
      <c r="G168" s="11">
        <v>1</v>
      </c>
      <c r="H168" s="11">
        <v>57</v>
      </c>
      <c r="I168" s="11">
        <v>54</v>
      </c>
      <c r="J168" s="11">
        <v>3</v>
      </c>
      <c r="K168" s="11">
        <v>0</v>
      </c>
      <c r="L168" s="12">
        <v>33.513915491337578</v>
      </c>
      <c r="M168" s="12">
        <v>30.3327900119858</v>
      </c>
      <c r="N168" s="12">
        <v>56.887495445727367</v>
      </c>
      <c r="O168" s="12">
        <v>70.56143466167596</v>
      </c>
      <c r="P168" s="12">
        <v>10.449609078163</v>
      </c>
      <c r="Q168" s="12">
        <v>71.175501939140744</v>
      </c>
      <c r="R168" s="12">
        <v>13.53620358988964</v>
      </c>
      <c r="S168" s="12">
        <v>0.4038980044987095</v>
      </c>
      <c r="T168" s="12">
        <v>18</v>
      </c>
      <c r="U168" s="12">
        <v>3.5</v>
      </c>
      <c r="V168" s="12">
        <v>3.166666666666667</v>
      </c>
      <c r="W168" s="12">
        <v>3.166666666666667</v>
      </c>
      <c r="X168" s="12">
        <v>3</v>
      </c>
      <c r="Y168" s="12">
        <v>5.2631578947368416</v>
      </c>
      <c r="Z168" s="12"/>
      <c r="AA168" s="12"/>
      <c r="AB168" s="11">
        <v>0</v>
      </c>
      <c r="AC168" s="12">
        <v>0</v>
      </c>
      <c r="AD168" s="11">
        <v>2</v>
      </c>
      <c r="AE168" s="13" t="b">
        <v>1</v>
      </c>
      <c r="AF168" s="10" t="s">
        <v>60</v>
      </c>
      <c r="AG168" s="10" t="s">
        <v>61</v>
      </c>
      <c r="AH168" s="12"/>
    </row>
    <row r="169" spans="1:34" ht="32.1" customHeight="1" x14ac:dyDescent="0.25">
      <c r="A169" s="10" t="s">
        <v>56</v>
      </c>
      <c r="B169" s="10" t="s">
        <v>110</v>
      </c>
      <c r="C169" s="10" t="s">
        <v>94</v>
      </c>
      <c r="D169" s="10" t="s">
        <v>3</v>
      </c>
      <c r="E169" s="10" t="s">
        <v>83</v>
      </c>
      <c r="F169" s="10" t="s">
        <v>64</v>
      </c>
      <c r="G169" s="11">
        <v>1</v>
      </c>
      <c r="H169" s="11">
        <v>19</v>
      </c>
      <c r="I169" s="11">
        <v>19</v>
      </c>
      <c r="J169" s="11">
        <v>0</v>
      </c>
      <c r="K169" s="11">
        <v>0</v>
      </c>
      <c r="L169" s="12">
        <v>115.6366119036753</v>
      </c>
      <c r="M169" s="12">
        <v>53.700628305651769</v>
      </c>
      <c r="N169" s="12">
        <v>210.84839104343729</v>
      </c>
      <c r="O169" s="12">
        <v>982.96911826495739</v>
      </c>
      <c r="P169" s="12">
        <v>26.63596306459603</v>
      </c>
      <c r="Q169" s="12">
        <v>1175.9993000703359</v>
      </c>
      <c r="R169" s="12">
        <v>257.45344641042749</v>
      </c>
      <c r="S169" s="12">
        <v>2.2264008100210071</v>
      </c>
      <c r="T169" s="12">
        <v>18</v>
      </c>
      <c r="U169" s="12">
        <v>1</v>
      </c>
      <c r="V169" s="12">
        <v>1.055555555555556</v>
      </c>
      <c r="W169" s="12">
        <v>1.055555555555556</v>
      </c>
      <c r="X169" s="12">
        <v>1.055555555555556</v>
      </c>
      <c r="Y169" s="12">
        <v>0</v>
      </c>
      <c r="Z169" s="12"/>
      <c r="AA169" s="12"/>
      <c r="AB169" s="11">
        <v>0</v>
      </c>
      <c r="AC169" s="12">
        <v>0</v>
      </c>
      <c r="AD169" s="11">
        <v>0</v>
      </c>
      <c r="AE169" s="13" t="b">
        <v>0</v>
      </c>
      <c r="AF169" s="10" t="s">
        <v>60</v>
      </c>
      <c r="AG169" s="10" t="s">
        <v>61</v>
      </c>
      <c r="AH169" s="10" t="s">
        <v>71</v>
      </c>
    </row>
    <row r="170" spans="1:34" ht="32.1" customHeight="1" x14ac:dyDescent="0.25">
      <c r="A170" s="10" t="s">
        <v>56</v>
      </c>
      <c r="B170" s="10" t="s">
        <v>111</v>
      </c>
      <c r="C170" s="10" t="s">
        <v>94</v>
      </c>
      <c r="D170" s="10" t="s">
        <v>3</v>
      </c>
      <c r="E170" s="10" t="s">
        <v>83</v>
      </c>
      <c r="F170" s="10" t="s">
        <v>5</v>
      </c>
      <c r="G170" s="11">
        <v>2</v>
      </c>
      <c r="H170" s="11">
        <v>90</v>
      </c>
      <c r="I170" s="11">
        <v>90</v>
      </c>
      <c r="J170" s="11">
        <v>0</v>
      </c>
      <c r="K170" s="11">
        <v>0</v>
      </c>
      <c r="L170" s="12">
        <v>44.160815810223781</v>
      </c>
      <c r="M170" s="12">
        <v>34.283415693390012</v>
      </c>
      <c r="N170" s="12">
        <v>93.341656548986833</v>
      </c>
      <c r="O170" s="12">
        <v>189.47586717237641</v>
      </c>
      <c r="P170" s="12">
        <v>14.308686919016541</v>
      </c>
      <c r="Q170" s="12">
        <v>326.56527074764892</v>
      </c>
      <c r="R170" s="12">
        <v>39.076842267587388</v>
      </c>
      <c r="S170" s="12">
        <v>0.88487591432902402</v>
      </c>
      <c r="T170" s="12">
        <v>18</v>
      </c>
      <c r="U170" s="12">
        <v>5</v>
      </c>
      <c r="V170" s="12">
        <v>5</v>
      </c>
      <c r="W170" s="12">
        <v>5</v>
      </c>
      <c r="X170" s="12">
        <v>5</v>
      </c>
      <c r="Y170" s="12">
        <v>0</v>
      </c>
      <c r="Z170" s="12">
        <v>0</v>
      </c>
      <c r="AA170" s="12">
        <v>0</v>
      </c>
      <c r="AB170" s="11">
        <v>0</v>
      </c>
      <c r="AC170" s="12">
        <v>0</v>
      </c>
      <c r="AD170" s="11">
        <v>5</v>
      </c>
      <c r="AE170" s="13" t="b">
        <v>1</v>
      </c>
      <c r="AF170" s="10" t="s">
        <v>60</v>
      </c>
      <c r="AG170" s="10" t="s">
        <v>61</v>
      </c>
      <c r="AH170" s="12"/>
    </row>
    <row r="171" spans="1:34" ht="32.1" customHeight="1" x14ac:dyDescent="0.25">
      <c r="A171" s="10" t="s">
        <v>56</v>
      </c>
      <c r="B171" s="10" t="s">
        <v>111</v>
      </c>
      <c r="C171" s="10" t="s">
        <v>94</v>
      </c>
      <c r="D171" s="10" t="s">
        <v>3</v>
      </c>
      <c r="E171" s="10" t="s">
        <v>83</v>
      </c>
      <c r="F171" s="10" t="s">
        <v>62</v>
      </c>
      <c r="G171" s="11">
        <v>2</v>
      </c>
      <c r="H171" s="11">
        <v>3</v>
      </c>
      <c r="I171" s="11">
        <v>3</v>
      </c>
      <c r="J171" s="11">
        <v>0</v>
      </c>
      <c r="K171" s="11">
        <v>0</v>
      </c>
      <c r="L171" s="12">
        <v>137.48995722599619</v>
      </c>
      <c r="M171" s="12">
        <v>120.30543457262119</v>
      </c>
      <c r="N171" s="12">
        <v>167.3095531776234</v>
      </c>
      <c r="O171" s="12">
        <v>171.48769705362361</v>
      </c>
      <c r="P171" s="12">
        <v>119.6322040827437</v>
      </c>
      <c r="Q171" s="12">
        <v>172.5322330226237</v>
      </c>
      <c r="R171" s="12">
        <v>30.34936786126368</v>
      </c>
      <c r="S171" s="12">
        <v>0.22073879775362459</v>
      </c>
      <c r="T171" s="12">
        <v>18</v>
      </c>
      <c r="U171" s="12">
        <v>0.5</v>
      </c>
      <c r="V171" s="12">
        <v>0.1666666666666666</v>
      </c>
      <c r="W171" s="12">
        <v>0.1666666666666666</v>
      </c>
      <c r="X171" s="12">
        <v>0.1666666666666666</v>
      </c>
      <c r="Y171" s="12">
        <v>0</v>
      </c>
      <c r="Z171" s="12"/>
      <c r="AA171" s="12"/>
      <c r="AB171" s="11">
        <v>0</v>
      </c>
      <c r="AC171" s="12">
        <v>0</v>
      </c>
      <c r="AD171" s="11">
        <v>0</v>
      </c>
      <c r="AE171" s="13" t="b">
        <v>0</v>
      </c>
      <c r="AF171" s="10" t="s">
        <v>60</v>
      </c>
      <c r="AG171" s="10" t="s">
        <v>61</v>
      </c>
      <c r="AH171" s="10" t="s">
        <v>71</v>
      </c>
    </row>
    <row r="172" spans="1:34" ht="32.1" customHeight="1" x14ac:dyDescent="0.25">
      <c r="A172" s="10" t="s">
        <v>56</v>
      </c>
      <c r="B172" s="10" t="s">
        <v>111</v>
      </c>
      <c r="C172" s="10" t="s">
        <v>94</v>
      </c>
      <c r="D172" s="10" t="s">
        <v>3</v>
      </c>
      <c r="E172" s="10" t="s">
        <v>83</v>
      </c>
      <c r="F172" s="10" t="s">
        <v>63</v>
      </c>
      <c r="G172" s="11">
        <v>2</v>
      </c>
      <c r="H172" s="11">
        <v>71</v>
      </c>
      <c r="I172" s="11">
        <v>71</v>
      </c>
      <c r="J172" s="11">
        <v>0</v>
      </c>
      <c r="K172" s="11">
        <v>0</v>
      </c>
      <c r="L172" s="12">
        <v>37.661882811282382</v>
      </c>
      <c r="M172" s="12">
        <v>32.424272267878258</v>
      </c>
      <c r="N172" s="12">
        <v>62.275151928128992</v>
      </c>
      <c r="O172" s="12">
        <v>155.38850735772061</v>
      </c>
      <c r="P172" s="12">
        <v>14.308686919016541</v>
      </c>
      <c r="Q172" s="12">
        <v>326.56527074764892</v>
      </c>
      <c r="R172" s="12">
        <v>37.325278048097147</v>
      </c>
      <c r="S172" s="12">
        <v>0.99106245524495118</v>
      </c>
      <c r="T172" s="12">
        <v>18</v>
      </c>
      <c r="U172" s="12">
        <v>3.5</v>
      </c>
      <c r="V172" s="12">
        <v>3.9444444444444451</v>
      </c>
      <c r="W172" s="12">
        <v>3.9444444444444451</v>
      </c>
      <c r="X172" s="12">
        <v>3.9444444444444451</v>
      </c>
      <c r="Y172" s="12">
        <v>0</v>
      </c>
      <c r="Z172" s="12"/>
      <c r="AA172" s="12"/>
      <c r="AB172" s="11">
        <v>0</v>
      </c>
      <c r="AC172" s="12">
        <v>0</v>
      </c>
      <c r="AD172" s="11">
        <v>3</v>
      </c>
      <c r="AE172" s="13" t="b">
        <v>1</v>
      </c>
      <c r="AF172" s="10" t="s">
        <v>60</v>
      </c>
      <c r="AG172" s="10" t="s">
        <v>61</v>
      </c>
      <c r="AH172" s="12"/>
    </row>
    <row r="173" spans="1:34" ht="32.1" customHeight="1" x14ac:dyDescent="0.25">
      <c r="A173" s="10" t="s">
        <v>56</v>
      </c>
      <c r="B173" s="10" t="s">
        <v>111</v>
      </c>
      <c r="C173" s="10" t="s">
        <v>94</v>
      </c>
      <c r="D173" s="10" t="s">
        <v>3</v>
      </c>
      <c r="E173" s="10" t="s">
        <v>83</v>
      </c>
      <c r="F173" s="10" t="s">
        <v>64</v>
      </c>
      <c r="G173" s="11">
        <v>2</v>
      </c>
      <c r="H173" s="11">
        <v>16</v>
      </c>
      <c r="I173" s="11">
        <v>16</v>
      </c>
      <c r="J173" s="11">
        <v>0</v>
      </c>
      <c r="K173" s="11">
        <v>0</v>
      </c>
      <c r="L173" s="12">
        <v>55.500616977568903</v>
      </c>
      <c r="M173" s="12">
        <v>52.153208400348248</v>
      </c>
      <c r="N173" s="12">
        <v>91.334140127260497</v>
      </c>
      <c r="O173" s="12">
        <v>95.349172970713198</v>
      </c>
      <c r="P173" s="12">
        <v>30.19668400191976</v>
      </c>
      <c r="Q173" s="12">
        <v>96.352931181576395</v>
      </c>
      <c r="R173" s="12">
        <v>18.887810864355931</v>
      </c>
      <c r="S173" s="12">
        <v>0.34031713326699797</v>
      </c>
      <c r="T173" s="12">
        <v>18</v>
      </c>
      <c r="U173" s="12">
        <v>1</v>
      </c>
      <c r="V173" s="12">
        <v>0.88888888888888884</v>
      </c>
      <c r="W173" s="12">
        <v>0.88888888888888884</v>
      </c>
      <c r="X173" s="12">
        <v>0.88888888888888884</v>
      </c>
      <c r="Y173" s="12">
        <v>0</v>
      </c>
      <c r="Z173" s="12"/>
      <c r="AA173" s="12"/>
      <c r="AB173" s="11">
        <v>0</v>
      </c>
      <c r="AC173" s="12">
        <v>0</v>
      </c>
      <c r="AD173" s="11">
        <v>2</v>
      </c>
      <c r="AE173" s="13" t="b">
        <v>0</v>
      </c>
      <c r="AF173" s="10" t="s">
        <v>60</v>
      </c>
      <c r="AG173" s="10" t="s">
        <v>61</v>
      </c>
      <c r="AH173" s="10" t="s">
        <v>71</v>
      </c>
    </row>
    <row r="174" spans="1:34" ht="32.1" customHeight="1" x14ac:dyDescent="0.25">
      <c r="A174" s="10" t="s">
        <v>56</v>
      </c>
      <c r="B174" s="10" t="s">
        <v>112</v>
      </c>
      <c r="C174" s="10" t="s">
        <v>94</v>
      </c>
      <c r="D174" s="10" t="s">
        <v>3</v>
      </c>
      <c r="E174" s="10" t="s">
        <v>83</v>
      </c>
      <c r="F174" s="10" t="s">
        <v>5</v>
      </c>
      <c r="G174" s="11">
        <v>3</v>
      </c>
      <c r="H174" s="11">
        <v>90</v>
      </c>
      <c r="I174" s="11">
        <v>90</v>
      </c>
      <c r="J174" s="11">
        <v>0</v>
      </c>
      <c r="K174" s="11">
        <v>0</v>
      </c>
      <c r="L174" s="12">
        <v>55.21362024459112</v>
      </c>
      <c r="M174" s="12">
        <v>47.057067638117907</v>
      </c>
      <c r="N174" s="12">
        <v>108.288856437272</v>
      </c>
      <c r="O174" s="12">
        <v>138.01949720463961</v>
      </c>
      <c r="P174" s="12">
        <v>18.984727855739809</v>
      </c>
      <c r="Q174" s="12">
        <v>141.8350234598901</v>
      </c>
      <c r="R174" s="12">
        <v>26.819689785297431</v>
      </c>
      <c r="S174" s="12">
        <v>0.48574409115882539</v>
      </c>
      <c r="T174" s="12">
        <v>18</v>
      </c>
      <c r="U174" s="12">
        <v>5</v>
      </c>
      <c r="V174" s="12">
        <v>5</v>
      </c>
      <c r="W174" s="12">
        <v>5</v>
      </c>
      <c r="X174" s="12">
        <v>5</v>
      </c>
      <c r="Y174" s="12">
        <v>0</v>
      </c>
      <c r="Z174" s="12">
        <v>0</v>
      </c>
      <c r="AA174" s="12">
        <v>0</v>
      </c>
      <c r="AB174" s="11">
        <v>0</v>
      </c>
      <c r="AC174" s="12">
        <v>0</v>
      </c>
      <c r="AD174" s="11">
        <v>5</v>
      </c>
      <c r="AE174" s="13" t="b">
        <v>1</v>
      </c>
      <c r="AF174" s="10" t="s">
        <v>60</v>
      </c>
      <c r="AG174" s="10" t="s">
        <v>61</v>
      </c>
      <c r="AH174" s="12"/>
    </row>
    <row r="175" spans="1:34" ht="32.1" customHeight="1" x14ac:dyDescent="0.25">
      <c r="A175" s="10" t="s">
        <v>56</v>
      </c>
      <c r="B175" s="10" t="s">
        <v>112</v>
      </c>
      <c r="C175" s="10" t="s">
        <v>94</v>
      </c>
      <c r="D175" s="10" t="s">
        <v>3</v>
      </c>
      <c r="E175" s="10" t="s">
        <v>83</v>
      </c>
      <c r="F175" s="10" t="s">
        <v>62</v>
      </c>
      <c r="G175" s="11">
        <v>3</v>
      </c>
      <c r="H175" s="11">
        <v>8</v>
      </c>
      <c r="I175" s="11">
        <v>8</v>
      </c>
      <c r="J175" s="11">
        <v>0</v>
      </c>
      <c r="K175" s="11">
        <v>0</v>
      </c>
      <c r="L175" s="12">
        <v>104.0870838942492</v>
      </c>
      <c r="M175" s="12">
        <v>99.559227409475</v>
      </c>
      <c r="N175" s="12">
        <v>138.29410608349829</v>
      </c>
      <c r="O175" s="12">
        <v>141.12683998461171</v>
      </c>
      <c r="P175" s="12">
        <v>73.486894186446847</v>
      </c>
      <c r="Q175" s="12">
        <v>141.8350234598901</v>
      </c>
      <c r="R175" s="12">
        <v>25.74624515187158</v>
      </c>
      <c r="S175" s="12">
        <v>0.24735292976436299</v>
      </c>
      <c r="T175" s="12">
        <v>18</v>
      </c>
      <c r="U175" s="12">
        <v>0.5</v>
      </c>
      <c r="V175" s="12">
        <v>0.44444444444444442</v>
      </c>
      <c r="W175" s="12">
        <v>0.44444444444444442</v>
      </c>
      <c r="X175" s="12">
        <v>0.44444444444444442</v>
      </c>
      <c r="Y175" s="12">
        <v>0</v>
      </c>
      <c r="Z175" s="12"/>
      <c r="AA175" s="12"/>
      <c r="AB175" s="11">
        <v>0</v>
      </c>
      <c r="AC175" s="12">
        <v>0</v>
      </c>
      <c r="AD175" s="11">
        <v>0</v>
      </c>
      <c r="AE175" s="13" t="b">
        <v>0</v>
      </c>
      <c r="AF175" s="10" t="s">
        <v>60</v>
      </c>
      <c r="AG175" s="10" t="s">
        <v>61</v>
      </c>
      <c r="AH175" s="10" t="s">
        <v>71</v>
      </c>
    </row>
    <row r="176" spans="1:34" ht="32.1" customHeight="1" x14ac:dyDescent="0.25">
      <c r="A176" s="10" t="s">
        <v>56</v>
      </c>
      <c r="B176" s="10" t="s">
        <v>112</v>
      </c>
      <c r="C176" s="10" t="s">
        <v>94</v>
      </c>
      <c r="D176" s="10" t="s">
        <v>3</v>
      </c>
      <c r="E176" s="10" t="s">
        <v>83</v>
      </c>
      <c r="F176" s="10" t="s">
        <v>63</v>
      </c>
      <c r="G176" s="11">
        <v>3</v>
      </c>
      <c r="H176" s="11">
        <v>61</v>
      </c>
      <c r="I176" s="11">
        <v>61</v>
      </c>
      <c r="J176" s="11">
        <v>0</v>
      </c>
      <c r="K176" s="11">
        <v>0</v>
      </c>
      <c r="L176" s="12">
        <v>46.196406982933723</v>
      </c>
      <c r="M176" s="12">
        <v>43.443523201290638</v>
      </c>
      <c r="N176" s="12">
        <v>77.519853013945138</v>
      </c>
      <c r="O176" s="12">
        <v>114.0185184421329</v>
      </c>
      <c r="P176" s="12">
        <v>18.984727855739809</v>
      </c>
      <c r="Q176" s="12">
        <v>137.54791530792329</v>
      </c>
      <c r="R176" s="12">
        <v>21.181404354378419</v>
      </c>
      <c r="S176" s="12">
        <v>0.45850761428704712</v>
      </c>
      <c r="T176" s="12">
        <v>18</v>
      </c>
      <c r="U176" s="12">
        <v>3.5</v>
      </c>
      <c r="V176" s="12">
        <v>3.3888888888888888</v>
      </c>
      <c r="W176" s="12">
        <v>3.3888888888888888</v>
      </c>
      <c r="X176" s="12">
        <v>3.3888888888888888</v>
      </c>
      <c r="Y176" s="12">
        <v>0</v>
      </c>
      <c r="Z176" s="12"/>
      <c r="AA176" s="12"/>
      <c r="AB176" s="11">
        <v>0</v>
      </c>
      <c r="AC176" s="12">
        <v>0</v>
      </c>
      <c r="AD176" s="11">
        <v>4</v>
      </c>
      <c r="AE176" s="13" t="b">
        <v>1</v>
      </c>
      <c r="AF176" s="10" t="s">
        <v>60</v>
      </c>
      <c r="AG176" s="10" t="s">
        <v>61</v>
      </c>
      <c r="AH176" s="12"/>
    </row>
    <row r="177" spans="1:34" ht="32.1" customHeight="1" x14ac:dyDescent="0.25">
      <c r="A177" s="10" t="s">
        <v>56</v>
      </c>
      <c r="B177" s="10" t="s">
        <v>112</v>
      </c>
      <c r="C177" s="10" t="s">
        <v>94</v>
      </c>
      <c r="D177" s="10" t="s">
        <v>3</v>
      </c>
      <c r="E177" s="10" t="s">
        <v>83</v>
      </c>
      <c r="F177" s="10" t="s">
        <v>64</v>
      </c>
      <c r="G177" s="11">
        <v>3</v>
      </c>
      <c r="H177" s="11">
        <v>21</v>
      </c>
      <c r="I177" s="11">
        <v>21</v>
      </c>
      <c r="J177" s="11">
        <v>0</v>
      </c>
      <c r="K177" s="11">
        <v>0</v>
      </c>
      <c r="L177" s="12">
        <v>62.788015471440552</v>
      </c>
      <c r="M177" s="12">
        <v>59.979756846046243</v>
      </c>
      <c r="N177" s="12">
        <v>88.064263095706579</v>
      </c>
      <c r="O177" s="12">
        <v>105.6063034239349</v>
      </c>
      <c r="P177" s="12">
        <v>25.988756647285999</v>
      </c>
      <c r="Q177" s="12">
        <v>109.991813505992</v>
      </c>
      <c r="R177" s="12">
        <v>18.9532090979644</v>
      </c>
      <c r="S177" s="12">
        <v>0.30186029858811769</v>
      </c>
      <c r="T177" s="12">
        <v>18</v>
      </c>
      <c r="U177" s="12">
        <v>1</v>
      </c>
      <c r="V177" s="12">
        <v>1.166666666666667</v>
      </c>
      <c r="W177" s="12">
        <v>1.166666666666667</v>
      </c>
      <c r="X177" s="12">
        <v>1.166666666666667</v>
      </c>
      <c r="Y177" s="12">
        <v>0</v>
      </c>
      <c r="Z177" s="12"/>
      <c r="AA177" s="12"/>
      <c r="AB177" s="11">
        <v>0</v>
      </c>
      <c r="AC177" s="12">
        <v>0</v>
      </c>
      <c r="AD177" s="11">
        <v>1</v>
      </c>
      <c r="AE177" s="13" t="b">
        <v>0</v>
      </c>
      <c r="AF177" s="10" t="s">
        <v>60</v>
      </c>
      <c r="AG177" s="10" t="s">
        <v>61</v>
      </c>
      <c r="AH177" s="10" t="s">
        <v>71</v>
      </c>
    </row>
    <row r="178" spans="1:34" ht="32.1" customHeight="1" x14ac:dyDescent="0.25">
      <c r="A178" s="10" t="s">
        <v>56</v>
      </c>
      <c r="B178" s="10" t="s">
        <v>113</v>
      </c>
      <c r="C178" s="10" t="s">
        <v>94</v>
      </c>
      <c r="D178" s="10" t="s">
        <v>3</v>
      </c>
      <c r="E178" s="10" t="s">
        <v>83</v>
      </c>
      <c r="F178" s="10" t="s">
        <v>5</v>
      </c>
      <c r="G178" s="11">
        <v>4</v>
      </c>
      <c r="H178" s="11">
        <v>90</v>
      </c>
      <c r="I178" s="11">
        <v>90</v>
      </c>
      <c r="J178" s="11">
        <v>0</v>
      </c>
      <c r="K178" s="11">
        <v>0</v>
      </c>
      <c r="L178" s="12">
        <v>48.322998605471277</v>
      </c>
      <c r="M178" s="12">
        <v>35.973391713348093</v>
      </c>
      <c r="N178" s="12">
        <v>96.19447140661218</v>
      </c>
      <c r="O178" s="12">
        <v>190.2403215094958</v>
      </c>
      <c r="P178" s="12">
        <v>14.90152458257328</v>
      </c>
      <c r="Q178" s="12">
        <v>461.7550567691344</v>
      </c>
      <c r="R178" s="12">
        <v>51.089614494849457</v>
      </c>
      <c r="S178" s="12">
        <v>1.0572525706023741</v>
      </c>
      <c r="T178" s="12">
        <v>18</v>
      </c>
      <c r="U178" s="12">
        <v>5</v>
      </c>
      <c r="V178" s="12">
        <v>5</v>
      </c>
      <c r="W178" s="12">
        <v>5</v>
      </c>
      <c r="X178" s="12">
        <v>5</v>
      </c>
      <c r="Y178" s="12">
        <v>0</v>
      </c>
      <c r="Z178" s="12">
        <v>0</v>
      </c>
      <c r="AA178" s="12">
        <v>0</v>
      </c>
      <c r="AB178" s="11">
        <v>0</v>
      </c>
      <c r="AC178" s="12">
        <v>0</v>
      </c>
      <c r="AD178" s="11">
        <v>9</v>
      </c>
      <c r="AE178" s="13" t="b">
        <v>1</v>
      </c>
      <c r="AF178" s="10" t="s">
        <v>60</v>
      </c>
      <c r="AG178" s="10" t="s">
        <v>61</v>
      </c>
      <c r="AH178" s="12"/>
    </row>
    <row r="179" spans="1:34" ht="32.1" customHeight="1" x14ac:dyDescent="0.25">
      <c r="A179" s="10" t="s">
        <v>56</v>
      </c>
      <c r="B179" s="10" t="s">
        <v>113</v>
      </c>
      <c r="C179" s="10" t="s">
        <v>94</v>
      </c>
      <c r="D179" s="10" t="s">
        <v>3</v>
      </c>
      <c r="E179" s="10" t="s">
        <v>83</v>
      </c>
      <c r="F179" s="10" t="s">
        <v>62</v>
      </c>
      <c r="G179" s="11">
        <v>4</v>
      </c>
      <c r="H179" s="11">
        <v>3</v>
      </c>
      <c r="I179" s="11">
        <v>3</v>
      </c>
      <c r="J179" s="11">
        <v>0</v>
      </c>
      <c r="K179" s="11">
        <v>0</v>
      </c>
      <c r="L179" s="12">
        <v>127.75985854309261</v>
      </c>
      <c r="M179" s="12">
        <v>130.62086282922971</v>
      </c>
      <c r="N179" s="12">
        <v>153.53859185760041</v>
      </c>
      <c r="O179" s="12">
        <v>155.5757233267889</v>
      </c>
      <c r="P179" s="12">
        <v>96.573706605962116</v>
      </c>
      <c r="Q179" s="12">
        <v>156.08500619408599</v>
      </c>
      <c r="R179" s="12">
        <v>29.858628632454451</v>
      </c>
      <c r="S179" s="12">
        <v>0.23370899884319549</v>
      </c>
      <c r="T179" s="12">
        <v>18</v>
      </c>
      <c r="U179" s="12">
        <v>0.5</v>
      </c>
      <c r="V179" s="12">
        <v>0.1666666666666666</v>
      </c>
      <c r="W179" s="12">
        <v>0.1666666666666666</v>
      </c>
      <c r="X179" s="12">
        <v>0.1666666666666666</v>
      </c>
      <c r="Y179" s="12">
        <v>0</v>
      </c>
      <c r="Z179" s="12"/>
      <c r="AA179" s="12"/>
      <c r="AB179" s="11">
        <v>0</v>
      </c>
      <c r="AC179" s="12">
        <v>0</v>
      </c>
      <c r="AD179" s="11">
        <v>1</v>
      </c>
      <c r="AE179" s="13" t="b">
        <v>0</v>
      </c>
      <c r="AF179" s="10" t="s">
        <v>60</v>
      </c>
      <c r="AG179" s="10" t="s">
        <v>61</v>
      </c>
      <c r="AH179" s="10" t="s">
        <v>71</v>
      </c>
    </row>
    <row r="180" spans="1:34" ht="32.1" customHeight="1" x14ac:dyDescent="0.25">
      <c r="A180" s="10" t="s">
        <v>56</v>
      </c>
      <c r="B180" s="10" t="s">
        <v>113</v>
      </c>
      <c r="C180" s="10" t="s">
        <v>94</v>
      </c>
      <c r="D180" s="10" t="s">
        <v>3</v>
      </c>
      <c r="E180" s="10" t="s">
        <v>83</v>
      </c>
      <c r="F180" s="10" t="s">
        <v>63</v>
      </c>
      <c r="G180" s="11">
        <v>4</v>
      </c>
      <c r="H180" s="11">
        <v>73</v>
      </c>
      <c r="I180" s="11">
        <v>73</v>
      </c>
      <c r="J180" s="11">
        <v>0</v>
      </c>
      <c r="K180" s="11">
        <v>0</v>
      </c>
      <c r="L180" s="12">
        <v>42.188562810514973</v>
      </c>
      <c r="M180" s="12">
        <v>34.417072879367453</v>
      </c>
      <c r="N180" s="12">
        <v>62.789211521178927</v>
      </c>
      <c r="O180" s="12">
        <v>177.7970626581274</v>
      </c>
      <c r="P180" s="12">
        <v>14.90152458257328</v>
      </c>
      <c r="Q180" s="12">
        <v>461.7550567691344</v>
      </c>
      <c r="R180" s="12">
        <v>51.432059707556327</v>
      </c>
      <c r="S180" s="12">
        <v>1.219099591957125</v>
      </c>
      <c r="T180" s="12">
        <v>18</v>
      </c>
      <c r="U180" s="12">
        <v>3.5</v>
      </c>
      <c r="V180" s="12">
        <v>4.0555555555555554</v>
      </c>
      <c r="W180" s="12">
        <v>4.0555555555555554</v>
      </c>
      <c r="X180" s="12">
        <v>4.0555555555555554</v>
      </c>
      <c r="Y180" s="12">
        <v>0</v>
      </c>
      <c r="Z180" s="12"/>
      <c r="AA180" s="12"/>
      <c r="AB180" s="11">
        <v>0</v>
      </c>
      <c r="AC180" s="12">
        <v>0</v>
      </c>
      <c r="AD180" s="11">
        <v>8</v>
      </c>
      <c r="AE180" s="13" t="b">
        <v>1</v>
      </c>
      <c r="AF180" s="10" t="s">
        <v>60</v>
      </c>
      <c r="AG180" s="10" t="s">
        <v>61</v>
      </c>
      <c r="AH180" s="12"/>
    </row>
    <row r="181" spans="1:34" ht="32.1" customHeight="1" x14ac:dyDescent="0.25">
      <c r="A181" s="10" t="s">
        <v>56</v>
      </c>
      <c r="B181" s="10" t="s">
        <v>113</v>
      </c>
      <c r="C181" s="10" t="s">
        <v>94</v>
      </c>
      <c r="D181" s="10" t="s">
        <v>3</v>
      </c>
      <c r="E181" s="10" t="s">
        <v>83</v>
      </c>
      <c r="F181" s="10" t="s">
        <v>64</v>
      </c>
      <c r="G181" s="11">
        <v>4</v>
      </c>
      <c r="H181" s="11">
        <v>14</v>
      </c>
      <c r="I181" s="11">
        <v>14</v>
      </c>
      <c r="J181" s="11">
        <v>0</v>
      </c>
      <c r="K181" s="11">
        <v>0</v>
      </c>
      <c r="L181" s="12">
        <v>63.287515263967521</v>
      </c>
      <c r="M181" s="12">
        <v>49.616862315485008</v>
      </c>
      <c r="N181" s="12">
        <v>117.06393729985891</v>
      </c>
      <c r="O181" s="12">
        <v>148.7586438778514</v>
      </c>
      <c r="P181" s="12">
        <v>30.526123605965392</v>
      </c>
      <c r="Q181" s="12">
        <v>156.68232052234961</v>
      </c>
      <c r="R181" s="12">
        <v>34.248895233522248</v>
      </c>
      <c r="S181" s="12">
        <v>0.54116353107990822</v>
      </c>
      <c r="T181" s="12">
        <v>18</v>
      </c>
      <c r="U181" s="12">
        <v>1</v>
      </c>
      <c r="V181" s="12">
        <v>0.77777777777777779</v>
      </c>
      <c r="W181" s="12">
        <v>0.77777777777777779</v>
      </c>
      <c r="X181" s="12">
        <v>0.77777777777777779</v>
      </c>
      <c r="Y181" s="12">
        <v>0</v>
      </c>
      <c r="Z181" s="12"/>
      <c r="AA181" s="12"/>
      <c r="AB181" s="11">
        <v>0</v>
      </c>
      <c r="AC181" s="12">
        <v>0</v>
      </c>
      <c r="AD181" s="11">
        <v>0</v>
      </c>
      <c r="AE181" s="13" t="b">
        <v>0</v>
      </c>
      <c r="AF181" s="10" t="s">
        <v>60</v>
      </c>
      <c r="AG181" s="10" t="s">
        <v>61</v>
      </c>
      <c r="AH181" s="10" t="s">
        <v>71</v>
      </c>
    </row>
    <row r="182" spans="1:34" ht="32.1" customHeight="1" x14ac:dyDescent="0.25">
      <c r="A182" s="10" t="s">
        <v>56</v>
      </c>
      <c r="B182" s="10" t="s">
        <v>114</v>
      </c>
      <c r="C182" s="10" t="s">
        <v>94</v>
      </c>
      <c r="D182" s="10" t="s">
        <v>3</v>
      </c>
      <c r="E182" s="10" t="s">
        <v>83</v>
      </c>
      <c r="F182" s="10" t="s">
        <v>5</v>
      </c>
      <c r="G182" s="11">
        <v>5</v>
      </c>
      <c r="H182" s="11">
        <v>90</v>
      </c>
      <c r="I182" s="11">
        <v>90</v>
      </c>
      <c r="J182" s="11">
        <v>0</v>
      </c>
      <c r="K182" s="11">
        <v>0</v>
      </c>
      <c r="L182" s="12">
        <v>41.635488825993278</v>
      </c>
      <c r="M182" s="12">
        <v>36.940439127229993</v>
      </c>
      <c r="N182" s="12">
        <v>86.441303051964809</v>
      </c>
      <c r="O182" s="12">
        <v>98.7329262212901</v>
      </c>
      <c r="P182" s="12">
        <v>10.3969913228379</v>
      </c>
      <c r="Q182" s="12">
        <v>112.6198279684496</v>
      </c>
      <c r="R182" s="12">
        <v>20.72220270236776</v>
      </c>
      <c r="S182" s="12">
        <v>0.49770528188036439</v>
      </c>
      <c r="T182" s="12">
        <v>18</v>
      </c>
      <c r="U182" s="12">
        <v>5</v>
      </c>
      <c r="V182" s="12">
        <v>5</v>
      </c>
      <c r="W182" s="12">
        <v>5</v>
      </c>
      <c r="X182" s="12">
        <v>5</v>
      </c>
      <c r="Y182" s="12">
        <v>0</v>
      </c>
      <c r="Z182" s="12">
        <v>0</v>
      </c>
      <c r="AA182" s="12">
        <v>0</v>
      </c>
      <c r="AB182" s="11">
        <v>0</v>
      </c>
      <c r="AC182" s="12">
        <v>0</v>
      </c>
      <c r="AD182" s="11">
        <v>2</v>
      </c>
      <c r="AE182" s="13" t="b">
        <v>1</v>
      </c>
      <c r="AF182" s="10" t="s">
        <v>60</v>
      </c>
      <c r="AG182" s="10" t="s">
        <v>61</v>
      </c>
      <c r="AH182" s="12"/>
    </row>
    <row r="183" spans="1:34" ht="32.1" customHeight="1" x14ac:dyDescent="0.25">
      <c r="A183" s="10" t="s">
        <v>56</v>
      </c>
      <c r="B183" s="10" t="s">
        <v>114</v>
      </c>
      <c r="C183" s="10" t="s">
        <v>94</v>
      </c>
      <c r="D183" s="10" t="s">
        <v>3</v>
      </c>
      <c r="E183" s="10" t="s">
        <v>83</v>
      </c>
      <c r="F183" s="10" t="s">
        <v>62</v>
      </c>
      <c r="G183" s="11">
        <v>5</v>
      </c>
      <c r="H183" s="11">
        <v>7</v>
      </c>
      <c r="I183" s="11">
        <v>7</v>
      </c>
      <c r="J183" s="11">
        <v>0</v>
      </c>
      <c r="K183" s="11">
        <v>0</v>
      </c>
      <c r="L183" s="12">
        <v>79.720672453284848</v>
      </c>
      <c r="M183" s="12">
        <v>90.144455868190633</v>
      </c>
      <c r="N183" s="12">
        <v>107.9388498514295</v>
      </c>
      <c r="O183" s="12">
        <v>111.6836323450456</v>
      </c>
      <c r="P183" s="12">
        <v>45.209801008115043</v>
      </c>
      <c r="Q183" s="12">
        <v>112.6198279684496</v>
      </c>
      <c r="R183" s="12">
        <v>25.731566134709311</v>
      </c>
      <c r="S183" s="12">
        <v>0.32277156404805329</v>
      </c>
      <c r="T183" s="12">
        <v>18</v>
      </c>
      <c r="U183" s="12">
        <v>0.5</v>
      </c>
      <c r="V183" s="12">
        <v>0.3888888888888889</v>
      </c>
      <c r="W183" s="12">
        <v>0.3888888888888889</v>
      </c>
      <c r="X183" s="12">
        <v>0.3888888888888889</v>
      </c>
      <c r="Y183" s="12">
        <v>0</v>
      </c>
      <c r="Z183" s="12"/>
      <c r="AA183" s="12"/>
      <c r="AB183" s="11">
        <v>0</v>
      </c>
      <c r="AC183" s="12">
        <v>0</v>
      </c>
      <c r="AD183" s="11">
        <v>0</v>
      </c>
      <c r="AE183" s="13" t="b">
        <v>0</v>
      </c>
      <c r="AF183" s="10" t="s">
        <v>60</v>
      </c>
      <c r="AG183" s="10" t="s">
        <v>61</v>
      </c>
      <c r="AH183" s="10" t="s">
        <v>71</v>
      </c>
    </row>
    <row r="184" spans="1:34" ht="32.1" customHeight="1" x14ac:dyDescent="0.25">
      <c r="A184" s="10" t="s">
        <v>56</v>
      </c>
      <c r="B184" s="10" t="s">
        <v>114</v>
      </c>
      <c r="C184" s="10" t="s">
        <v>94</v>
      </c>
      <c r="D184" s="10" t="s">
        <v>3</v>
      </c>
      <c r="E184" s="10" t="s">
        <v>83</v>
      </c>
      <c r="F184" s="10" t="s">
        <v>63</v>
      </c>
      <c r="G184" s="11">
        <v>5</v>
      </c>
      <c r="H184" s="11">
        <v>62</v>
      </c>
      <c r="I184" s="11">
        <v>62</v>
      </c>
      <c r="J184" s="11">
        <v>0</v>
      </c>
      <c r="K184" s="11">
        <v>0</v>
      </c>
      <c r="L184" s="12">
        <v>33.318857187394883</v>
      </c>
      <c r="M184" s="12">
        <v>30.944472135177879</v>
      </c>
      <c r="N184" s="12">
        <v>58.892767157747372</v>
      </c>
      <c r="O184" s="12">
        <v>65.381050837765926</v>
      </c>
      <c r="P184" s="12">
        <v>10.3969913228379</v>
      </c>
      <c r="Q184" s="12">
        <v>73.377324785685019</v>
      </c>
      <c r="R184" s="12">
        <v>12.909235626294089</v>
      </c>
      <c r="S184" s="12">
        <v>0.38744533024313582</v>
      </c>
      <c r="T184" s="12">
        <v>18</v>
      </c>
      <c r="U184" s="12">
        <v>3.5</v>
      </c>
      <c r="V184" s="12">
        <v>3.4444444444444451</v>
      </c>
      <c r="W184" s="12">
        <v>3.4444444444444451</v>
      </c>
      <c r="X184" s="12">
        <v>3.4444444444444451</v>
      </c>
      <c r="Y184" s="12">
        <v>0</v>
      </c>
      <c r="Z184" s="12"/>
      <c r="AA184" s="12"/>
      <c r="AB184" s="11">
        <v>0</v>
      </c>
      <c r="AC184" s="12">
        <v>0</v>
      </c>
      <c r="AD184" s="11">
        <v>0</v>
      </c>
      <c r="AE184" s="13" t="b">
        <v>1</v>
      </c>
      <c r="AF184" s="10" t="s">
        <v>60</v>
      </c>
      <c r="AG184" s="10" t="s">
        <v>61</v>
      </c>
      <c r="AH184" s="12"/>
    </row>
    <row r="185" spans="1:34" ht="32.1" customHeight="1" x14ac:dyDescent="0.25">
      <c r="A185" s="10" t="s">
        <v>56</v>
      </c>
      <c r="B185" s="10" t="s">
        <v>114</v>
      </c>
      <c r="C185" s="10" t="s">
        <v>94</v>
      </c>
      <c r="D185" s="10" t="s">
        <v>3</v>
      </c>
      <c r="E185" s="10" t="s">
        <v>83</v>
      </c>
      <c r="F185" s="10" t="s">
        <v>64</v>
      </c>
      <c r="G185" s="11">
        <v>5</v>
      </c>
      <c r="H185" s="11">
        <v>21</v>
      </c>
      <c r="I185" s="11">
        <v>21</v>
      </c>
      <c r="J185" s="11">
        <v>0</v>
      </c>
      <c r="K185" s="11">
        <v>0</v>
      </c>
      <c r="L185" s="12">
        <v>53.494292454662798</v>
      </c>
      <c r="M185" s="12">
        <v>46.968468934331447</v>
      </c>
      <c r="N185" s="12">
        <v>81.915227387688844</v>
      </c>
      <c r="O185" s="12">
        <v>91.465072380484258</v>
      </c>
      <c r="P185" s="12">
        <v>21.734322465740199</v>
      </c>
      <c r="Q185" s="12">
        <v>93.852533628683105</v>
      </c>
      <c r="R185" s="12">
        <v>18.281537319046372</v>
      </c>
      <c r="S185" s="12">
        <v>0.3417474365987781</v>
      </c>
      <c r="T185" s="12">
        <v>18</v>
      </c>
      <c r="U185" s="12">
        <v>1</v>
      </c>
      <c r="V185" s="12">
        <v>1.166666666666667</v>
      </c>
      <c r="W185" s="12">
        <v>1.166666666666667</v>
      </c>
      <c r="X185" s="12">
        <v>1.166666666666667</v>
      </c>
      <c r="Y185" s="12">
        <v>0</v>
      </c>
      <c r="Z185" s="12"/>
      <c r="AA185" s="12"/>
      <c r="AB185" s="11">
        <v>0</v>
      </c>
      <c r="AC185" s="12">
        <v>0</v>
      </c>
      <c r="AD185" s="11">
        <v>2</v>
      </c>
      <c r="AE185" s="13" t="b">
        <v>0</v>
      </c>
      <c r="AF185" s="10" t="s">
        <v>60</v>
      </c>
      <c r="AG185" s="10" t="s">
        <v>61</v>
      </c>
      <c r="AH185" s="10" t="s">
        <v>71</v>
      </c>
    </row>
    <row r="186" spans="1:34" ht="32.1" customHeight="1" x14ac:dyDescent="0.25">
      <c r="A186" s="10" t="s">
        <v>56</v>
      </c>
      <c r="B186" s="10" t="s">
        <v>115</v>
      </c>
      <c r="C186" s="10" t="s">
        <v>94</v>
      </c>
      <c r="D186" s="10" t="s">
        <v>3</v>
      </c>
      <c r="E186" s="10" t="s">
        <v>4</v>
      </c>
      <c r="F186" s="10" t="s">
        <v>5</v>
      </c>
      <c r="G186" s="11">
        <v>1</v>
      </c>
      <c r="H186" s="11">
        <v>360</v>
      </c>
      <c r="I186" s="11">
        <v>352</v>
      </c>
      <c r="J186" s="11">
        <v>8</v>
      </c>
      <c r="K186" s="11">
        <v>0</v>
      </c>
      <c r="L186" s="12">
        <v>45.115769937323151</v>
      </c>
      <c r="M186" s="12">
        <v>35.467345589611973</v>
      </c>
      <c r="N186" s="12">
        <v>100.25932135132381</v>
      </c>
      <c r="O186" s="12">
        <v>161.09683073245009</v>
      </c>
      <c r="P186" s="12">
        <v>11.58338405151909</v>
      </c>
      <c r="Q186" s="12">
        <v>334.14970420667072</v>
      </c>
      <c r="R186" s="12">
        <v>33.710678993993781</v>
      </c>
      <c r="S186" s="12">
        <v>0.74720389435503742</v>
      </c>
      <c r="T186" s="12">
        <v>18</v>
      </c>
      <c r="U186" s="12">
        <v>20</v>
      </c>
      <c r="V186" s="12">
        <v>19.944444444444439</v>
      </c>
      <c r="W186" s="12">
        <v>20</v>
      </c>
      <c r="X186" s="12">
        <v>19.555555555555561</v>
      </c>
      <c r="Y186" s="12">
        <v>2.2222222222222219</v>
      </c>
      <c r="Z186" s="12">
        <v>0</v>
      </c>
      <c r="AA186" s="12">
        <v>0</v>
      </c>
      <c r="AB186" s="11">
        <v>0</v>
      </c>
      <c r="AC186" s="12">
        <v>0</v>
      </c>
      <c r="AD186" s="11">
        <v>20</v>
      </c>
      <c r="AE186" s="13" t="b">
        <v>1</v>
      </c>
      <c r="AF186" s="10" t="s">
        <v>60</v>
      </c>
      <c r="AG186" s="10" t="s">
        <v>61</v>
      </c>
      <c r="AH186" s="12"/>
    </row>
    <row r="187" spans="1:34" ht="32.1" customHeight="1" x14ac:dyDescent="0.25">
      <c r="A187" s="10" t="s">
        <v>56</v>
      </c>
      <c r="B187" s="10" t="s">
        <v>115</v>
      </c>
      <c r="C187" s="10" t="s">
        <v>94</v>
      </c>
      <c r="D187" s="10" t="s">
        <v>3</v>
      </c>
      <c r="E187" s="10" t="s">
        <v>4</v>
      </c>
      <c r="F187" s="10" t="s">
        <v>62</v>
      </c>
      <c r="G187" s="11">
        <v>1</v>
      </c>
      <c r="H187" s="11">
        <v>34</v>
      </c>
      <c r="I187" s="11">
        <v>33</v>
      </c>
      <c r="J187" s="11">
        <v>1</v>
      </c>
      <c r="K187" s="11">
        <v>0</v>
      </c>
      <c r="L187" s="12">
        <v>102.8609579197495</v>
      </c>
      <c r="M187" s="12">
        <v>93.512585068895035</v>
      </c>
      <c r="N187" s="12">
        <v>160.4234695516202</v>
      </c>
      <c r="O187" s="12">
        <v>179.3509012640958</v>
      </c>
      <c r="P187" s="12">
        <v>50.220828550812378</v>
      </c>
      <c r="Q187" s="12">
        <v>185.0804329710376</v>
      </c>
      <c r="R187" s="12">
        <v>35.57499756972782</v>
      </c>
      <c r="S187" s="12">
        <v>0.3458552038518139</v>
      </c>
      <c r="T187" s="12">
        <v>18</v>
      </c>
      <c r="U187" s="12">
        <v>2</v>
      </c>
      <c r="V187" s="12">
        <v>1.8888888888888891</v>
      </c>
      <c r="W187" s="12">
        <v>1.8888888888888891</v>
      </c>
      <c r="X187" s="12">
        <v>1.833333333333333</v>
      </c>
      <c r="Y187" s="12">
        <v>2.9411764705882359</v>
      </c>
      <c r="Z187" s="12"/>
      <c r="AA187" s="12"/>
      <c r="AB187" s="11">
        <v>0</v>
      </c>
      <c r="AC187" s="12">
        <v>0</v>
      </c>
      <c r="AD187" s="11">
        <v>2</v>
      </c>
      <c r="AE187" s="13" t="b">
        <v>1</v>
      </c>
      <c r="AF187" s="10" t="s">
        <v>60</v>
      </c>
      <c r="AG187" s="10" t="s">
        <v>61</v>
      </c>
      <c r="AH187" s="12"/>
    </row>
    <row r="188" spans="1:34" ht="32.1" customHeight="1" x14ac:dyDescent="0.25">
      <c r="A188" s="10" t="s">
        <v>56</v>
      </c>
      <c r="B188" s="10" t="s">
        <v>115</v>
      </c>
      <c r="C188" s="10" t="s">
        <v>94</v>
      </c>
      <c r="D188" s="10" t="s">
        <v>3</v>
      </c>
      <c r="E188" s="10" t="s">
        <v>4</v>
      </c>
      <c r="F188" s="10" t="s">
        <v>63</v>
      </c>
      <c r="G188" s="11">
        <v>1</v>
      </c>
      <c r="H188" s="11">
        <v>254</v>
      </c>
      <c r="I188" s="11">
        <v>249</v>
      </c>
      <c r="J188" s="11">
        <v>5</v>
      </c>
      <c r="K188" s="11">
        <v>0</v>
      </c>
      <c r="L188" s="12">
        <v>35.997976174207388</v>
      </c>
      <c r="M188" s="12">
        <v>30.793971567939341</v>
      </c>
      <c r="N188" s="12">
        <v>61.120695882351292</v>
      </c>
      <c r="O188" s="12">
        <v>92.75658515408324</v>
      </c>
      <c r="P188" s="12">
        <v>11.58338405151909</v>
      </c>
      <c r="Q188" s="12">
        <v>334.14970420667072</v>
      </c>
      <c r="R188" s="12">
        <v>28.134366239784239</v>
      </c>
      <c r="S188" s="12">
        <v>0.7815541102541913</v>
      </c>
      <c r="T188" s="12">
        <v>18</v>
      </c>
      <c r="U188" s="12">
        <v>14</v>
      </c>
      <c r="V188" s="12">
        <v>14.055555555555561</v>
      </c>
      <c r="W188" s="12">
        <v>14.111111111111111</v>
      </c>
      <c r="X188" s="12">
        <v>13.83333333333333</v>
      </c>
      <c r="Y188" s="12">
        <v>1.9685039370078741</v>
      </c>
      <c r="Z188" s="12"/>
      <c r="AA188" s="12"/>
      <c r="AB188" s="11">
        <v>0</v>
      </c>
      <c r="AC188" s="12">
        <v>0</v>
      </c>
      <c r="AD188" s="11">
        <v>14</v>
      </c>
      <c r="AE188" s="13" t="b">
        <v>1</v>
      </c>
      <c r="AF188" s="10" t="s">
        <v>60</v>
      </c>
      <c r="AG188" s="10" t="s">
        <v>61</v>
      </c>
      <c r="AH188" s="12"/>
    </row>
    <row r="189" spans="1:34" ht="32.1" customHeight="1" x14ac:dyDescent="0.25">
      <c r="A189" s="10" t="s">
        <v>56</v>
      </c>
      <c r="B189" s="10" t="s">
        <v>115</v>
      </c>
      <c r="C189" s="10" t="s">
        <v>94</v>
      </c>
      <c r="D189" s="10" t="s">
        <v>3</v>
      </c>
      <c r="E189" s="10" t="s">
        <v>4</v>
      </c>
      <c r="F189" s="10" t="s">
        <v>64</v>
      </c>
      <c r="G189" s="11">
        <v>1</v>
      </c>
      <c r="H189" s="11">
        <v>72</v>
      </c>
      <c r="I189" s="11">
        <v>70</v>
      </c>
      <c r="J189" s="11">
        <v>2</v>
      </c>
      <c r="K189" s="11">
        <v>0</v>
      </c>
      <c r="L189" s="12">
        <v>50.012759165502402</v>
      </c>
      <c r="M189" s="12">
        <v>46.304846161770143</v>
      </c>
      <c r="N189" s="12">
        <v>93.383186013538619</v>
      </c>
      <c r="O189" s="12">
        <v>109.14897089698501</v>
      </c>
      <c r="P189" s="12">
        <v>17.039889980577751</v>
      </c>
      <c r="Q189" s="12">
        <v>118.62997098922099</v>
      </c>
      <c r="R189" s="12">
        <v>20.463233974291491</v>
      </c>
      <c r="S189" s="12">
        <v>0.40916026861414478</v>
      </c>
      <c r="T189" s="12">
        <v>18</v>
      </c>
      <c r="U189" s="12">
        <v>4</v>
      </c>
      <c r="V189" s="12">
        <v>4</v>
      </c>
      <c r="W189" s="12">
        <v>4</v>
      </c>
      <c r="X189" s="12">
        <v>3.8888888888888888</v>
      </c>
      <c r="Y189" s="12">
        <v>2.7777777777777781</v>
      </c>
      <c r="Z189" s="12"/>
      <c r="AA189" s="12"/>
      <c r="AB189" s="11">
        <v>0</v>
      </c>
      <c r="AC189" s="12">
        <v>0</v>
      </c>
      <c r="AD189" s="11">
        <v>4</v>
      </c>
      <c r="AE189" s="13" t="b">
        <v>1</v>
      </c>
      <c r="AF189" s="10" t="s">
        <v>60</v>
      </c>
      <c r="AG189" s="10" t="s">
        <v>61</v>
      </c>
      <c r="AH189" s="12"/>
    </row>
    <row r="190" spans="1:34" ht="32.1" customHeight="1" x14ac:dyDescent="0.25">
      <c r="A190" s="10" t="s">
        <v>56</v>
      </c>
      <c r="B190" s="10" t="s">
        <v>116</v>
      </c>
      <c r="C190" s="10" t="s">
        <v>94</v>
      </c>
      <c r="D190" s="10" t="s">
        <v>3</v>
      </c>
      <c r="E190" s="10" t="s">
        <v>4</v>
      </c>
      <c r="F190" s="10" t="s">
        <v>5</v>
      </c>
      <c r="G190" s="11">
        <v>2</v>
      </c>
      <c r="H190" s="11">
        <v>360</v>
      </c>
      <c r="I190" s="11">
        <v>356</v>
      </c>
      <c r="J190" s="11">
        <v>4</v>
      </c>
      <c r="K190" s="11">
        <v>0</v>
      </c>
      <c r="L190" s="12">
        <v>46.740675003693568</v>
      </c>
      <c r="M190" s="12">
        <v>37.199426050576371</v>
      </c>
      <c r="N190" s="12">
        <v>105.4410020343021</v>
      </c>
      <c r="O190" s="12">
        <v>143.9713330387379</v>
      </c>
      <c r="P190" s="12">
        <v>14.27171629357524</v>
      </c>
      <c r="Q190" s="12">
        <v>240.70323280059449</v>
      </c>
      <c r="R190" s="12">
        <v>29.765719660779649</v>
      </c>
      <c r="S190" s="12">
        <v>0.6368269105747294</v>
      </c>
      <c r="T190" s="12">
        <v>18</v>
      </c>
      <c r="U190" s="12">
        <v>20</v>
      </c>
      <c r="V190" s="12">
        <v>19.944444444444439</v>
      </c>
      <c r="W190" s="12">
        <v>20</v>
      </c>
      <c r="X190" s="12">
        <v>19.777777777777779</v>
      </c>
      <c r="Y190" s="12">
        <v>1.1111111111111109</v>
      </c>
      <c r="Z190" s="12">
        <v>0</v>
      </c>
      <c r="AA190" s="12">
        <v>0</v>
      </c>
      <c r="AB190" s="11">
        <v>0</v>
      </c>
      <c r="AC190" s="12">
        <v>0</v>
      </c>
      <c r="AD190" s="11">
        <v>23</v>
      </c>
      <c r="AE190" s="13" t="b">
        <v>1</v>
      </c>
      <c r="AF190" s="10" t="s">
        <v>60</v>
      </c>
      <c r="AG190" s="10" t="s">
        <v>61</v>
      </c>
      <c r="AH190" s="12"/>
    </row>
    <row r="191" spans="1:34" ht="32.1" customHeight="1" x14ac:dyDescent="0.25">
      <c r="A191" s="10" t="s">
        <v>56</v>
      </c>
      <c r="B191" s="10" t="s">
        <v>116</v>
      </c>
      <c r="C191" s="10" t="s">
        <v>94</v>
      </c>
      <c r="D191" s="10" t="s">
        <v>3</v>
      </c>
      <c r="E191" s="10" t="s">
        <v>4</v>
      </c>
      <c r="F191" s="10" t="s">
        <v>62</v>
      </c>
      <c r="G191" s="11">
        <v>2</v>
      </c>
      <c r="H191" s="11">
        <v>41</v>
      </c>
      <c r="I191" s="11">
        <v>40</v>
      </c>
      <c r="J191" s="11">
        <v>1</v>
      </c>
      <c r="K191" s="11">
        <v>0</v>
      </c>
      <c r="L191" s="12">
        <v>106.6307774362016</v>
      </c>
      <c r="M191" s="12">
        <v>99.282101789898121</v>
      </c>
      <c r="N191" s="12">
        <v>176.1815008682216</v>
      </c>
      <c r="O191" s="12">
        <v>215.48074365984931</v>
      </c>
      <c r="P191" s="12">
        <v>53.261114755195727</v>
      </c>
      <c r="Q191" s="12">
        <v>240.70323280059449</v>
      </c>
      <c r="R191" s="12">
        <v>35.92060307378577</v>
      </c>
      <c r="S191" s="12">
        <v>0.3368689972768647</v>
      </c>
      <c r="T191" s="12">
        <v>18</v>
      </c>
      <c r="U191" s="12">
        <v>2</v>
      </c>
      <c r="V191" s="12">
        <v>2.2777777777777781</v>
      </c>
      <c r="W191" s="12">
        <v>2.2777777777777781</v>
      </c>
      <c r="X191" s="12">
        <v>2.2222222222222219</v>
      </c>
      <c r="Y191" s="12">
        <v>2.4390243902439019</v>
      </c>
      <c r="Z191" s="12"/>
      <c r="AA191" s="12"/>
      <c r="AB191" s="11">
        <v>0</v>
      </c>
      <c r="AC191" s="12">
        <v>0</v>
      </c>
      <c r="AD191" s="11">
        <v>3</v>
      </c>
      <c r="AE191" s="13" t="b">
        <v>1</v>
      </c>
      <c r="AF191" s="10" t="s">
        <v>60</v>
      </c>
      <c r="AG191" s="10" t="s">
        <v>61</v>
      </c>
      <c r="AH191" s="12"/>
    </row>
    <row r="192" spans="1:34" ht="32.1" customHeight="1" x14ac:dyDescent="0.25">
      <c r="A192" s="10" t="s">
        <v>56</v>
      </c>
      <c r="B192" s="10" t="s">
        <v>116</v>
      </c>
      <c r="C192" s="10" t="s">
        <v>94</v>
      </c>
      <c r="D192" s="10" t="s">
        <v>3</v>
      </c>
      <c r="E192" s="10" t="s">
        <v>4</v>
      </c>
      <c r="F192" s="10" t="s">
        <v>63</v>
      </c>
      <c r="G192" s="11">
        <v>2</v>
      </c>
      <c r="H192" s="11">
        <v>248</v>
      </c>
      <c r="I192" s="11">
        <v>245</v>
      </c>
      <c r="J192" s="11">
        <v>3</v>
      </c>
      <c r="K192" s="11">
        <v>0</v>
      </c>
      <c r="L192" s="12">
        <v>34.722624680334903</v>
      </c>
      <c r="M192" s="12">
        <v>31.845521324963919</v>
      </c>
      <c r="N192" s="12">
        <v>62.684545198089758</v>
      </c>
      <c r="O192" s="12">
        <v>72.745496669182245</v>
      </c>
      <c r="P192" s="12">
        <v>14.27171629357524</v>
      </c>
      <c r="Q192" s="12">
        <v>85.539550333121809</v>
      </c>
      <c r="R192" s="12">
        <v>13.0406818956507</v>
      </c>
      <c r="S192" s="12">
        <v>0.37556728547183449</v>
      </c>
      <c r="T192" s="12">
        <v>18</v>
      </c>
      <c r="U192" s="12">
        <v>14</v>
      </c>
      <c r="V192" s="12">
        <v>13.72222222222222</v>
      </c>
      <c r="W192" s="12">
        <v>13.77777777777778</v>
      </c>
      <c r="X192" s="12">
        <v>13.611111111111111</v>
      </c>
      <c r="Y192" s="12">
        <v>1.209677419354839</v>
      </c>
      <c r="Z192" s="12"/>
      <c r="AA192" s="12"/>
      <c r="AB192" s="11">
        <v>0</v>
      </c>
      <c r="AC192" s="12">
        <v>0</v>
      </c>
      <c r="AD192" s="11">
        <v>15</v>
      </c>
      <c r="AE192" s="13" t="b">
        <v>1</v>
      </c>
      <c r="AF192" s="10" t="s">
        <v>60</v>
      </c>
      <c r="AG192" s="10" t="s">
        <v>61</v>
      </c>
      <c r="AH192" s="12"/>
    </row>
    <row r="193" spans="1:34" ht="32.1" customHeight="1" x14ac:dyDescent="0.25">
      <c r="A193" s="10" t="s">
        <v>56</v>
      </c>
      <c r="B193" s="10" t="s">
        <v>116</v>
      </c>
      <c r="C193" s="10" t="s">
        <v>94</v>
      </c>
      <c r="D193" s="10" t="s">
        <v>3</v>
      </c>
      <c r="E193" s="10" t="s">
        <v>4</v>
      </c>
      <c r="F193" s="10" t="s">
        <v>64</v>
      </c>
      <c r="G193" s="11">
        <v>2</v>
      </c>
      <c r="H193" s="11">
        <v>71</v>
      </c>
      <c r="I193" s="11">
        <v>71</v>
      </c>
      <c r="J193" s="11">
        <v>0</v>
      </c>
      <c r="K193" s="11">
        <v>0</v>
      </c>
      <c r="L193" s="12">
        <v>54.134791629892398</v>
      </c>
      <c r="M193" s="12">
        <v>50.077063054372253</v>
      </c>
      <c r="N193" s="12">
        <v>101.45625284735949</v>
      </c>
      <c r="O193" s="12">
        <v>115.7463520723488</v>
      </c>
      <c r="P193" s="12">
        <v>18.015815508432361</v>
      </c>
      <c r="Q193" s="12">
        <v>126.5727596414153</v>
      </c>
      <c r="R193" s="12">
        <v>23.205896238431791</v>
      </c>
      <c r="S193" s="12">
        <v>0.42866880133362978</v>
      </c>
      <c r="T193" s="12">
        <v>18</v>
      </c>
      <c r="U193" s="12">
        <v>4</v>
      </c>
      <c r="V193" s="12">
        <v>3.9444444444444451</v>
      </c>
      <c r="W193" s="12">
        <v>3.9444444444444451</v>
      </c>
      <c r="X193" s="12">
        <v>3.9444444444444451</v>
      </c>
      <c r="Y193" s="12">
        <v>0</v>
      </c>
      <c r="Z193" s="12"/>
      <c r="AA193" s="12"/>
      <c r="AB193" s="11">
        <v>0</v>
      </c>
      <c r="AC193" s="12">
        <v>0</v>
      </c>
      <c r="AD193" s="11">
        <v>5</v>
      </c>
      <c r="AE193" s="13" t="b">
        <v>1</v>
      </c>
      <c r="AF193" s="10" t="s">
        <v>60</v>
      </c>
      <c r="AG193" s="10" t="s">
        <v>61</v>
      </c>
      <c r="AH193" s="12"/>
    </row>
    <row r="194" spans="1:34" ht="32.1" customHeight="1" x14ac:dyDescent="0.25">
      <c r="A194" s="10" t="s">
        <v>56</v>
      </c>
      <c r="B194" s="10" t="s">
        <v>117</v>
      </c>
      <c r="C194" s="10" t="s">
        <v>94</v>
      </c>
      <c r="D194" s="10" t="s">
        <v>3</v>
      </c>
      <c r="E194" s="10" t="s">
        <v>4</v>
      </c>
      <c r="F194" s="10" t="s">
        <v>5</v>
      </c>
      <c r="G194" s="11">
        <v>3</v>
      </c>
      <c r="H194" s="11">
        <v>360</v>
      </c>
      <c r="I194" s="11">
        <v>357</v>
      </c>
      <c r="J194" s="11">
        <v>3</v>
      </c>
      <c r="K194" s="11">
        <v>0</v>
      </c>
      <c r="L194" s="12">
        <v>52.989910683089882</v>
      </c>
      <c r="M194" s="12">
        <v>38.1916686819539</v>
      </c>
      <c r="N194" s="12">
        <v>100.4144907223511</v>
      </c>
      <c r="O194" s="12">
        <v>172.84598822177611</v>
      </c>
      <c r="P194" s="12">
        <v>11.229244084474519</v>
      </c>
      <c r="Q194" s="12">
        <v>2247.8060279960168</v>
      </c>
      <c r="R194" s="12">
        <v>120.4053496697591</v>
      </c>
      <c r="S194" s="12">
        <v>2.272231602537552</v>
      </c>
      <c r="T194" s="12">
        <v>18</v>
      </c>
      <c r="U194" s="12">
        <v>20</v>
      </c>
      <c r="V194" s="12">
        <v>20</v>
      </c>
      <c r="W194" s="12">
        <v>20</v>
      </c>
      <c r="X194" s="12">
        <v>19.833333333333329</v>
      </c>
      <c r="Y194" s="12">
        <v>0.83333333333333337</v>
      </c>
      <c r="Z194" s="12">
        <v>0</v>
      </c>
      <c r="AA194" s="12">
        <v>0</v>
      </c>
      <c r="AB194" s="11">
        <v>0</v>
      </c>
      <c r="AC194" s="12">
        <v>0</v>
      </c>
      <c r="AD194" s="11">
        <v>17</v>
      </c>
      <c r="AE194" s="13" t="b">
        <v>1</v>
      </c>
      <c r="AF194" s="10" t="s">
        <v>60</v>
      </c>
      <c r="AG194" s="10" t="s">
        <v>61</v>
      </c>
      <c r="AH194" s="12"/>
    </row>
    <row r="195" spans="1:34" ht="32.1" customHeight="1" x14ac:dyDescent="0.25">
      <c r="A195" s="10" t="s">
        <v>56</v>
      </c>
      <c r="B195" s="10" t="s">
        <v>117</v>
      </c>
      <c r="C195" s="10" t="s">
        <v>94</v>
      </c>
      <c r="D195" s="10" t="s">
        <v>3</v>
      </c>
      <c r="E195" s="10" t="s">
        <v>4</v>
      </c>
      <c r="F195" s="10" t="s">
        <v>62</v>
      </c>
      <c r="G195" s="11">
        <v>3</v>
      </c>
      <c r="H195" s="11">
        <v>32</v>
      </c>
      <c r="I195" s="11">
        <v>32</v>
      </c>
      <c r="J195" s="11">
        <v>0</v>
      </c>
      <c r="K195" s="11">
        <v>0</v>
      </c>
      <c r="L195" s="12">
        <v>166.72493808041369</v>
      </c>
      <c r="M195" s="12">
        <v>89.185732815819861</v>
      </c>
      <c r="N195" s="12">
        <v>179.00102671122079</v>
      </c>
      <c r="O195" s="12">
        <v>1607.6416073096241</v>
      </c>
      <c r="P195" s="12">
        <v>43.994262107878278</v>
      </c>
      <c r="Q195" s="12">
        <v>2247.8060279960168</v>
      </c>
      <c r="R195" s="12">
        <v>381.68167994156522</v>
      </c>
      <c r="S195" s="12">
        <v>2.2892896787730401</v>
      </c>
      <c r="T195" s="12">
        <v>18</v>
      </c>
      <c r="U195" s="12">
        <v>2</v>
      </c>
      <c r="V195" s="12">
        <v>1.7777777777777779</v>
      </c>
      <c r="W195" s="12">
        <v>1.7777777777777779</v>
      </c>
      <c r="X195" s="12">
        <v>1.7777777777777779</v>
      </c>
      <c r="Y195" s="12">
        <v>0</v>
      </c>
      <c r="Z195" s="12"/>
      <c r="AA195" s="12"/>
      <c r="AB195" s="11">
        <v>0</v>
      </c>
      <c r="AC195" s="12">
        <v>0</v>
      </c>
      <c r="AD195" s="11">
        <v>2</v>
      </c>
      <c r="AE195" s="13" t="b">
        <v>1</v>
      </c>
      <c r="AF195" s="10" t="s">
        <v>60</v>
      </c>
      <c r="AG195" s="10" t="s">
        <v>61</v>
      </c>
      <c r="AH195" s="12"/>
    </row>
    <row r="196" spans="1:34" ht="32.1" customHeight="1" x14ac:dyDescent="0.25">
      <c r="A196" s="10" t="s">
        <v>56</v>
      </c>
      <c r="B196" s="10" t="s">
        <v>117</v>
      </c>
      <c r="C196" s="10" t="s">
        <v>94</v>
      </c>
      <c r="D196" s="10" t="s">
        <v>3</v>
      </c>
      <c r="E196" s="10" t="s">
        <v>4</v>
      </c>
      <c r="F196" s="10" t="s">
        <v>63</v>
      </c>
      <c r="G196" s="11">
        <v>3</v>
      </c>
      <c r="H196" s="11">
        <v>255</v>
      </c>
      <c r="I196" s="11">
        <v>253</v>
      </c>
      <c r="J196" s="11">
        <v>2</v>
      </c>
      <c r="K196" s="11">
        <v>0</v>
      </c>
      <c r="L196" s="12">
        <v>37.643688293356249</v>
      </c>
      <c r="M196" s="12">
        <v>34.027377877374008</v>
      </c>
      <c r="N196" s="12">
        <v>64.0281026777606</v>
      </c>
      <c r="O196" s="12">
        <v>89.047900882304162</v>
      </c>
      <c r="P196" s="12">
        <v>11.229244084474519</v>
      </c>
      <c r="Q196" s="12">
        <v>385.6791229483577</v>
      </c>
      <c r="R196" s="12">
        <v>26.182721835291829</v>
      </c>
      <c r="S196" s="12">
        <v>0.69554082031629272</v>
      </c>
      <c r="T196" s="12">
        <v>18</v>
      </c>
      <c r="U196" s="12">
        <v>14</v>
      </c>
      <c r="V196" s="12">
        <v>14.16666666666667</v>
      </c>
      <c r="W196" s="12">
        <v>14.16666666666667</v>
      </c>
      <c r="X196" s="12">
        <v>14.055555555555561</v>
      </c>
      <c r="Y196" s="12">
        <v>0.78431372549019607</v>
      </c>
      <c r="Z196" s="12"/>
      <c r="AA196" s="12"/>
      <c r="AB196" s="11">
        <v>0</v>
      </c>
      <c r="AC196" s="12">
        <v>0</v>
      </c>
      <c r="AD196" s="11">
        <v>12</v>
      </c>
      <c r="AE196" s="13" t="b">
        <v>1</v>
      </c>
      <c r="AF196" s="10" t="s">
        <v>60</v>
      </c>
      <c r="AG196" s="10" t="s">
        <v>61</v>
      </c>
      <c r="AH196" s="12"/>
    </row>
    <row r="197" spans="1:34" ht="32.1" customHeight="1" x14ac:dyDescent="0.25">
      <c r="A197" s="10" t="s">
        <v>56</v>
      </c>
      <c r="B197" s="10" t="s">
        <v>117</v>
      </c>
      <c r="C197" s="10" t="s">
        <v>94</v>
      </c>
      <c r="D197" s="10" t="s">
        <v>3</v>
      </c>
      <c r="E197" s="10" t="s">
        <v>4</v>
      </c>
      <c r="F197" s="10" t="s">
        <v>64</v>
      </c>
      <c r="G197" s="11">
        <v>3</v>
      </c>
      <c r="H197" s="11">
        <v>73</v>
      </c>
      <c r="I197" s="11">
        <v>72</v>
      </c>
      <c r="J197" s="11">
        <v>1</v>
      </c>
      <c r="K197" s="11">
        <v>0</v>
      </c>
      <c r="L197" s="12">
        <v>56.740127568949042</v>
      </c>
      <c r="M197" s="12">
        <v>54.194048332260728</v>
      </c>
      <c r="N197" s="12">
        <v>91.084295418635236</v>
      </c>
      <c r="O197" s="12">
        <v>128.5475312691139</v>
      </c>
      <c r="P197" s="12">
        <v>22.861039048082969</v>
      </c>
      <c r="Q197" s="12">
        <v>142.0244700797692</v>
      </c>
      <c r="R197" s="12">
        <v>23.371438823735179</v>
      </c>
      <c r="S197" s="12">
        <v>0.41190317725907211</v>
      </c>
      <c r="T197" s="12">
        <v>18</v>
      </c>
      <c r="U197" s="12">
        <v>4</v>
      </c>
      <c r="V197" s="12">
        <v>4.0555555555555554</v>
      </c>
      <c r="W197" s="12">
        <v>4.0555555555555554</v>
      </c>
      <c r="X197" s="12">
        <v>4</v>
      </c>
      <c r="Y197" s="12">
        <v>1.3698630136986301</v>
      </c>
      <c r="Z197" s="12"/>
      <c r="AA197" s="12"/>
      <c r="AB197" s="11">
        <v>0</v>
      </c>
      <c r="AC197" s="12">
        <v>0</v>
      </c>
      <c r="AD197" s="11">
        <v>3</v>
      </c>
      <c r="AE197" s="13" t="b">
        <v>1</v>
      </c>
      <c r="AF197" s="10" t="s">
        <v>60</v>
      </c>
      <c r="AG197" s="10" t="s">
        <v>61</v>
      </c>
      <c r="AH197" s="12"/>
    </row>
    <row r="198" spans="1:34" ht="32.1" customHeight="1" x14ac:dyDescent="0.25">
      <c r="A198" s="10" t="s">
        <v>56</v>
      </c>
      <c r="B198" s="10" t="s">
        <v>118</v>
      </c>
      <c r="C198" s="10" t="s">
        <v>94</v>
      </c>
      <c r="D198" s="10" t="s">
        <v>3</v>
      </c>
      <c r="E198" s="10" t="s">
        <v>4</v>
      </c>
      <c r="F198" s="10" t="s">
        <v>5</v>
      </c>
      <c r="G198" s="11">
        <v>4</v>
      </c>
      <c r="H198" s="11">
        <v>360</v>
      </c>
      <c r="I198" s="11">
        <v>354</v>
      </c>
      <c r="J198" s="11">
        <v>6</v>
      </c>
      <c r="K198" s="11">
        <v>0</v>
      </c>
      <c r="L198" s="12">
        <v>48.891440293259357</v>
      </c>
      <c r="M198" s="12">
        <v>37.189267154046959</v>
      </c>
      <c r="N198" s="12">
        <v>100.1513021683886</v>
      </c>
      <c r="O198" s="12">
        <v>167.85137095238309</v>
      </c>
      <c r="P198" s="12">
        <v>10.710645660822021</v>
      </c>
      <c r="Q198" s="12">
        <v>1733.356101975354</v>
      </c>
      <c r="R198" s="12">
        <v>93.019459066829484</v>
      </c>
      <c r="S198" s="12">
        <v>1.9025714625890049</v>
      </c>
      <c r="T198" s="12">
        <v>18</v>
      </c>
      <c r="U198" s="12">
        <v>20</v>
      </c>
      <c r="V198" s="12">
        <v>19.944444444444439</v>
      </c>
      <c r="W198" s="12">
        <v>20</v>
      </c>
      <c r="X198" s="12">
        <v>19.666666666666671</v>
      </c>
      <c r="Y198" s="12">
        <v>1.666666666666667</v>
      </c>
      <c r="Z198" s="12">
        <v>0</v>
      </c>
      <c r="AA198" s="12">
        <v>0</v>
      </c>
      <c r="AB198" s="11">
        <v>0</v>
      </c>
      <c r="AC198" s="12">
        <v>0</v>
      </c>
      <c r="AD198" s="11">
        <v>22</v>
      </c>
      <c r="AE198" s="13" t="b">
        <v>1</v>
      </c>
      <c r="AF198" s="10" t="s">
        <v>60</v>
      </c>
      <c r="AG198" s="10" t="s">
        <v>61</v>
      </c>
      <c r="AH198" s="12"/>
    </row>
    <row r="199" spans="1:34" ht="32.1" customHeight="1" x14ac:dyDescent="0.25">
      <c r="A199" s="10" t="s">
        <v>56</v>
      </c>
      <c r="B199" s="10" t="s">
        <v>118</v>
      </c>
      <c r="C199" s="10" t="s">
        <v>94</v>
      </c>
      <c r="D199" s="10" t="s">
        <v>3</v>
      </c>
      <c r="E199" s="10" t="s">
        <v>4</v>
      </c>
      <c r="F199" s="10" t="s">
        <v>62</v>
      </c>
      <c r="G199" s="11">
        <v>4</v>
      </c>
      <c r="H199" s="11">
        <v>33</v>
      </c>
      <c r="I199" s="11">
        <v>33</v>
      </c>
      <c r="J199" s="11">
        <v>0</v>
      </c>
      <c r="K199" s="11">
        <v>0</v>
      </c>
      <c r="L199" s="12">
        <v>102.03150460878101</v>
      </c>
      <c r="M199" s="12">
        <v>98.987242320182858</v>
      </c>
      <c r="N199" s="12">
        <v>179.99196515963479</v>
      </c>
      <c r="O199" s="12">
        <v>207.00666891893559</v>
      </c>
      <c r="P199" s="12">
        <v>42.21504916848459</v>
      </c>
      <c r="Q199" s="12">
        <v>213.66252183690571</v>
      </c>
      <c r="R199" s="12">
        <v>38.858750488520528</v>
      </c>
      <c r="S199" s="12">
        <v>0.38085050923747982</v>
      </c>
      <c r="T199" s="12">
        <v>18</v>
      </c>
      <c r="U199" s="12">
        <v>2</v>
      </c>
      <c r="V199" s="12">
        <v>1.7777777777777779</v>
      </c>
      <c r="W199" s="12">
        <v>1.833333333333333</v>
      </c>
      <c r="X199" s="12">
        <v>1.833333333333333</v>
      </c>
      <c r="Y199" s="12">
        <v>0</v>
      </c>
      <c r="Z199" s="12"/>
      <c r="AA199" s="12"/>
      <c r="AB199" s="11">
        <v>0</v>
      </c>
      <c r="AC199" s="12">
        <v>0</v>
      </c>
      <c r="AD199" s="11">
        <v>1</v>
      </c>
      <c r="AE199" s="13" t="b">
        <v>1</v>
      </c>
      <c r="AF199" s="10" t="s">
        <v>60</v>
      </c>
      <c r="AG199" s="10" t="s">
        <v>61</v>
      </c>
      <c r="AH199" s="12"/>
    </row>
    <row r="200" spans="1:34" ht="32.1" customHeight="1" x14ac:dyDescent="0.25">
      <c r="A200" s="10" t="s">
        <v>56</v>
      </c>
      <c r="B200" s="10" t="s">
        <v>118</v>
      </c>
      <c r="C200" s="10" t="s">
        <v>94</v>
      </c>
      <c r="D200" s="10" t="s">
        <v>3</v>
      </c>
      <c r="E200" s="10" t="s">
        <v>4</v>
      </c>
      <c r="F200" s="10" t="s">
        <v>63</v>
      </c>
      <c r="G200" s="11">
        <v>4</v>
      </c>
      <c r="H200" s="11">
        <v>248</v>
      </c>
      <c r="I200" s="11">
        <v>244</v>
      </c>
      <c r="J200" s="11">
        <v>4</v>
      </c>
      <c r="K200" s="11">
        <v>0</v>
      </c>
      <c r="L200" s="12">
        <v>34.798691758032923</v>
      </c>
      <c r="M200" s="12">
        <v>33.106824107130443</v>
      </c>
      <c r="N200" s="12">
        <v>58.777613582809067</v>
      </c>
      <c r="O200" s="12">
        <v>76.924594814523559</v>
      </c>
      <c r="P200" s="12">
        <v>10.710645660822021</v>
      </c>
      <c r="Q200" s="12">
        <v>85.685681518601498</v>
      </c>
      <c r="R200" s="12">
        <v>13.38337183825484</v>
      </c>
      <c r="S200" s="12">
        <v>0.38459410863241522</v>
      </c>
      <c r="T200" s="12">
        <v>18</v>
      </c>
      <c r="U200" s="12">
        <v>14</v>
      </c>
      <c r="V200" s="12">
        <v>13.77777777777778</v>
      </c>
      <c r="W200" s="12">
        <v>13.77777777777778</v>
      </c>
      <c r="X200" s="12">
        <v>13.555555555555561</v>
      </c>
      <c r="Y200" s="12">
        <v>1.612903225806452</v>
      </c>
      <c r="Z200" s="12"/>
      <c r="AA200" s="12"/>
      <c r="AB200" s="11">
        <v>0</v>
      </c>
      <c r="AC200" s="12">
        <v>0</v>
      </c>
      <c r="AD200" s="11">
        <v>15</v>
      </c>
      <c r="AE200" s="13" t="b">
        <v>1</v>
      </c>
      <c r="AF200" s="10" t="s">
        <v>60</v>
      </c>
      <c r="AG200" s="10" t="s">
        <v>61</v>
      </c>
      <c r="AH200" s="12"/>
    </row>
    <row r="201" spans="1:34" ht="32.1" customHeight="1" x14ac:dyDescent="0.25">
      <c r="A201" s="10" t="s">
        <v>56</v>
      </c>
      <c r="B201" s="10" t="s">
        <v>118</v>
      </c>
      <c r="C201" s="10" t="s">
        <v>94</v>
      </c>
      <c r="D201" s="10" t="s">
        <v>3</v>
      </c>
      <c r="E201" s="10" t="s">
        <v>4</v>
      </c>
      <c r="F201" s="10" t="s">
        <v>64</v>
      </c>
      <c r="G201" s="11">
        <v>4</v>
      </c>
      <c r="H201" s="11">
        <v>79</v>
      </c>
      <c r="I201" s="11">
        <v>77</v>
      </c>
      <c r="J201" s="11">
        <v>2</v>
      </c>
      <c r="K201" s="11">
        <v>0</v>
      </c>
      <c r="L201" s="12">
        <v>70.93421895558771</v>
      </c>
      <c r="M201" s="12">
        <v>45.219957693892887</v>
      </c>
      <c r="N201" s="12">
        <v>88.605042104339446</v>
      </c>
      <c r="O201" s="12">
        <v>510.33281626814232</v>
      </c>
      <c r="P201" s="12">
        <v>25.580913957624549</v>
      </c>
      <c r="Q201" s="12">
        <v>1733.356101975354</v>
      </c>
      <c r="R201" s="12">
        <v>190.5761334075834</v>
      </c>
      <c r="S201" s="12">
        <v>2.686660066376485</v>
      </c>
      <c r="T201" s="12">
        <v>18</v>
      </c>
      <c r="U201" s="12">
        <v>4</v>
      </c>
      <c r="V201" s="12">
        <v>4.3888888888888893</v>
      </c>
      <c r="W201" s="12">
        <v>4.3888888888888893</v>
      </c>
      <c r="X201" s="12">
        <v>4.2777777777777777</v>
      </c>
      <c r="Y201" s="12">
        <v>2.5316455696202529</v>
      </c>
      <c r="Z201" s="12"/>
      <c r="AA201" s="12"/>
      <c r="AB201" s="11">
        <v>0</v>
      </c>
      <c r="AC201" s="12">
        <v>0</v>
      </c>
      <c r="AD201" s="11">
        <v>6</v>
      </c>
      <c r="AE201" s="13" t="b">
        <v>1</v>
      </c>
      <c r="AF201" s="10" t="s">
        <v>60</v>
      </c>
      <c r="AG201" s="10" t="s">
        <v>61</v>
      </c>
      <c r="AH201" s="12"/>
    </row>
    <row r="202" spans="1:34" ht="32.1" customHeight="1" x14ac:dyDescent="0.25">
      <c r="A202" s="10" t="s">
        <v>56</v>
      </c>
      <c r="B202" s="10" t="s">
        <v>119</v>
      </c>
      <c r="C202" s="10" t="s">
        <v>94</v>
      </c>
      <c r="D202" s="10" t="s">
        <v>3</v>
      </c>
      <c r="E202" s="10" t="s">
        <v>4</v>
      </c>
      <c r="F202" s="10" t="s">
        <v>5</v>
      </c>
      <c r="G202" s="11">
        <v>5</v>
      </c>
      <c r="H202" s="11">
        <v>360</v>
      </c>
      <c r="I202" s="11">
        <v>356</v>
      </c>
      <c r="J202" s="11">
        <v>4</v>
      </c>
      <c r="K202" s="11">
        <v>0</v>
      </c>
      <c r="L202" s="12">
        <v>50.815430042595487</v>
      </c>
      <c r="M202" s="12">
        <v>36.932330862258297</v>
      </c>
      <c r="N202" s="12">
        <v>118.5345359056343</v>
      </c>
      <c r="O202" s="12">
        <v>220.8842348946674</v>
      </c>
      <c r="P202" s="12">
        <v>11.68303620763111</v>
      </c>
      <c r="Q202" s="12">
        <v>899.67941178412661</v>
      </c>
      <c r="R202" s="12">
        <v>66.213919689339392</v>
      </c>
      <c r="S202" s="12">
        <v>1.3030278329601119</v>
      </c>
      <c r="T202" s="12">
        <v>18</v>
      </c>
      <c r="U202" s="12">
        <v>20</v>
      </c>
      <c r="V202" s="12">
        <v>20</v>
      </c>
      <c r="W202" s="12">
        <v>20</v>
      </c>
      <c r="X202" s="12">
        <v>19.777777777777779</v>
      </c>
      <c r="Y202" s="12">
        <v>1.1111111111111109</v>
      </c>
      <c r="Z202" s="12">
        <v>0</v>
      </c>
      <c r="AA202" s="12">
        <v>0</v>
      </c>
      <c r="AB202" s="11">
        <v>0</v>
      </c>
      <c r="AC202" s="12">
        <v>0</v>
      </c>
      <c r="AD202" s="11">
        <v>8</v>
      </c>
      <c r="AE202" s="13" t="b">
        <v>1</v>
      </c>
      <c r="AF202" s="10" t="s">
        <v>60</v>
      </c>
      <c r="AG202" s="10" t="s">
        <v>61</v>
      </c>
      <c r="AH202" s="12"/>
    </row>
    <row r="203" spans="1:34" ht="32.1" customHeight="1" x14ac:dyDescent="0.25">
      <c r="A203" s="10" t="s">
        <v>56</v>
      </c>
      <c r="B203" s="10" t="s">
        <v>119</v>
      </c>
      <c r="C203" s="10" t="s">
        <v>94</v>
      </c>
      <c r="D203" s="10" t="s">
        <v>3</v>
      </c>
      <c r="E203" s="10" t="s">
        <v>4</v>
      </c>
      <c r="F203" s="10" t="s">
        <v>62</v>
      </c>
      <c r="G203" s="11">
        <v>5</v>
      </c>
      <c r="H203" s="11">
        <v>37</v>
      </c>
      <c r="I203" s="11">
        <v>37</v>
      </c>
      <c r="J203" s="11">
        <v>0</v>
      </c>
      <c r="K203" s="11">
        <v>0</v>
      </c>
      <c r="L203" s="12">
        <v>119.27482466449401</v>
      </c>
      <c r="M203" s="12">
        <v>115.00143277389731</v>
      </c>
      <c r="N203" s="12">
        <v>185.4612342071207</v>
      </c>
      <c r="O203" s="12">
        <v>266.23656530444367</v>
      </c>
      <c r="P203" s="12">
        <v>66.511681650753573</v>
      </c>
      <c r="Q203" s="12">
        <v>300.35780761379749</v>
      </c>
      <c r="R203" s="12">
        <v>46.288702387004413</v>
      </c>
      <c r="S203" s="12">
        <v>0.38808443036666851</v>
      </c>
      <c r="T203" s="12">
        <v>18</v>
      </c>
      <c r="U203" s="12">
        <v>2</v>
      </c>
      <c r="V203" s="12">
        <v>2.0555555555555558</v>
      </c>
      <c r="W203" s="12">
        <v>2.0555555555555558</v>
      </c>
      <c r="X203" s="12">
        <v>2.0555555555555558</v>
      </c>
      <c r="Y203" s="12">
        <v>0</v>
      </c>
      <c r="Z203" s="12"/>
      <c r="AA203" s="12"/>
      <c r="AB203" s="11">
        <v>0</v>
      </c>
      <c r="AC203" s="12">
        <v>0</v>
      </c>
      <c r="AD203" s="11">
        <v>1</v>
      </c>
      <c r="AE203" s="13" t="b">
        <v>1</v>
      </c>
      <c r="AF203" s="10" t="s">
        <v>60</v>
      </c>
      <c r="AG203" s="10" t="s">
        <v>61</v>
      </c>
      <c r="AH203" s="12"/>
    </row>
    <row r="204" spans="1:34" ht="32.1" customHeight="1" x14ac:dyDescent="0.25">
      <c r="A204" s="10" t="s">
        <v>56</v>
      </c>
      <c r="B204" s="10" t="s">
        <v>119</v>
      </c>
      <c r="C204" s="10" t="s">
        <v>94</v>
      </c>
      <c r="D204" s="10" t="s">
        <v>3</v>
      </c>
      <c r="E204" s="10" t="s">
        <v>4</v>
      </c>
      <c r="F204" s="10" t="s">
        <v>63</v>
      </c>
      <c r="G204" s="11">
        <v>5</v>
      </c>
      <c r="H204" s="11">
        <v>248</v>
      </c>
      <c r="I204" s="11">
        <v>246</v>
      </c>
      <c r="J204" s="11">
        <v>2</v>
      </c>
      <c r="K204" s="11">
        <v>0</v>
      </c>
      <c r="L204" s="12">
        <v>40.328804959736331</v>
      </c>
      <c r="M204" s="12">
        <v>31.70437724380751</v>
      </c>
      <c r="N204" s="12">
        <v>56.643618021702117</v>
      </c>
      <c r="O204" s="12">
        <v>167.1443809438646</v>
      </c>
      <c r="P204" s="12">
        <v>11.68303620763111</v>
      </c>
      <c r="Q204" s="12">
        <v>899.67941178412661</v>
      </c>
      <c r="R204" s="12">
        <v>71.583893137176645</v>
      </c>
      <c r="S204" s="12">
        <v>1.775006554462621</v>
      </c>
      <c r="T204" s="12">
        <v>18</v>
      </c>
      <c r="U204" s="12">
        <v>14</v>
      </c>
      <c r="V204" s="12">
        <v>13.77777777777778</v>
      </c>
      <c r="W204" s="12">
        <v>13.77777777777778</v>
      </c>
      <c r="X204" s="12">
        <v>13.66666666666667</v>
      </c>
      <c r="Y204" s="12">
        <v>0.80645161290322576</v>
      </c>
      <c r="Z204" s="12"/>
      <c r="AA204" s="12"/>
      <c r="AB204" s="11">
        <v>0</v>
      </c>
      <c r="AC204" s="12">
        <v>0</v>
      </c>
      <c r="AD204" s="11">
        <v>5</v>
      </c>
      <c r="AE204" s="13" t="b">
        <v>1</v>
      </c>
      <c r="AF204" s="10" t="s">
        <v>60</v>
      </c>
      <c r="AG204" s="10" t="s">
        <v>61</v>
      </c>
      <c r="AH204" s="12"/>
    </row>
    <row r="205" spans="1:34" ht="32.1" customHeight="1" x14ac:dyDescent="0.25">
      <c r="A205" s="10" t="s">
        <v>56</v>
      </c>
      <c r="B205" s="10" t="s">
        <v>119</v>
      </c>
      <c r="C205" s="10" t="s">
        <v>94</v>
      </c>
      <c r="D205" s="10" t="s">
        <v>3</v>
      </c>
      <c r="E205" s="10" t="s">
        <v>4</v>
      </c>
      <c r="F205" s="10" t="s">
        <v>64</v>
      </c>
      <c r="G205" s="11">
        <v>5</v>
      </c>
      <c r="H205" s="11">
        <v>75</v>
      </c>
      <c r="I205" s="11">
        <v>73</v>
      </c>
      <c r="J205" s="11">
        <v>2</v>
      </c>
      <c r="K205" s="11">
        <v>0</v>
      </c>
      <c r="L205" s="12">
        <v>51.717902303113192</v>
      </c>
      <c r="M205" s="12">
        <v>46.435428661880238</v>
      </c>
      <c r="N205" s="12">
        <v>88.611246437619798</v>
      </c>
      <c r="O205" s="12">
        <v>115.5376148311111</v>
      </c>
      <c r="P205" s="12">
        <v>24.57950341107902</v>
      </c>
      <c r="Q205" s="12">
        <v>152.40270532470271</v>
      </c>
      <c r="R205" s="12">
        <v>20.26541440039129</v>
      </c>
      <c r="S205" s="12">
        <v>0.3918452508305118</v>
      </c>
      <c r="T205" s="12">
        <v>18</v>
      </c>
      <c r="U205" s="12">
        <v>4</v>
      </c>
      <c r="V205" s="12">
        <v>4.166666666666667</v>
      </c>
      <c r="W205" s="12">
        <v>4.166666666666667</v>
      </c>
      <c r="X205" s="12">
        <v>4.0555555555555554</v>
      </c>
      <c r="Y205" s="12">
        <v>2.666666666666667</v>
      </c>
      <c r="Z205" s="12"/>
      <c r="AA205" s="12"/>
      <c r="AB205" s="11">
        <v>0</v>
      </c>
      <c r="AC205" s="12">
        <v>0</v>
      </c>
      <c r="AD205" s="11">
        <v>2</v>
      </c>
      <c r="AE205" s="13" t="b">
        <v>1</v>
      </c>
      <c r="AF205" s="10" t="s">
        <v>60</v>
      </c>
      <c r="AG205" s="10" t="s">
        <v>61</v>
      </c>
      <c r="AH205" s="12"/>
    </row>
    <row r="206" spans="1:34" ht="32.1" customHeight="1" x14ac:dyDescent="0.25">
      <c r="A206" s="10" t="s">
        <v>56</v>
      </c>
      <c r="B206" s="10" t="s">
        <v>120</v>
      </c>
      <c r="C206" s="10" t="s">
        <v>121</v>
      </c>
      <c r="D206" s="10" t="s">
        <v>59</v>
      </c>
      <c r="E206" s="10" t="s">
        <v>59</v>
      </c>
      <c r="F206" s="10" t="s">
        <v>5</v>
      </c>
      <c r="G206" s="11">
        <v>1</v>
      </c>
      <c r="H206" s="11">
        <v>830</v>
      </c>
      <c r="I206" s="11">
        <v>817</v>
      </c>
      <c r="J206" s="11">
        <v>13</v>
      </c>
      <c r="K206" s="11">
        <v>0</v>
      </c>
      <c r="L206" s="12">
        <v>59.916270861581047</v>
      </c>
      <c r="M206" s="12">
        <v>48.26777631176914</v>
      </c>
      <c r="N206" s="12">
        <v>131.62412421653229</v>
      </c>
      <c r="O206" s="12">
        <v>233.65817752952461</v>
      </c>
      <c r="P206" s="12">
        <v>15.95857842395708</v>
      </c>
      <c r="Q206" s="12">
        <v>374.88626665714651</v>
      </c>
      <c r="R206" s="12">
        <v>40.217859931087432</v>
      </c>
      <c r="S206" s="12">
        <v>0.67123436343358189</v>
      </c>
      <c r="T206" s="12">
        <v>20</v>
      </c>
      <c r="U206" s="12">
        <v>41.5</v>
      </c>
      <c r="V206" s="12">
        <v>41.5</v>
      </c>
      <c r="W206" s="12">
        <v>41.5</v>
      </c>
      <c r="X206" s="12">
        <v>40.85</v>
      </c>
      <c r="Y206" s="12">
        <v>1.566265060240964</v>
      </c>
      <c r="Z206" s="12">
        <v>0</v>
      </c>
      <c r="AA206" s="12">
        <v>0</v>
      </c>
      <c r="AB206" s="11">
        <v>0</v>
      </c>
      <c r="AC206" s="12">
        <v>0</v>
      </c>
      <c r="AD206" s="11">
        <v>41</v>
      </c>
      <c r="AE206" s="13" t="b">
        <v>1</v>
      </c>
      <c r="AF206" s="10" t="s">
        <v>60</v>
      </c>
      <c r="AG206" s="10" t="s">
        <v>61</v>
      </c>
      <c r="AH206" s="12"/>
    </row>
    <row r="207" spans="1:34" ht="32.1" customHeight="1" x14ac:dyDescent="0.25">
      <c r="A207" s="10" t="s">
        <v>56</v>
      </c>
      <c r="B207" s="10" t="s">
        <v>120</v>
      </c>
      <c r="C207" s="10" t="s">
        <v>121</v>
      </c>
      <c r="D207" s="10" t="s">
        <v>59</v>
      </c>
      <c r="E207" s="10" t="s">
        <v>59</v>
      </c>
      <c r="F207" s="10" t="s">
        <v>62</v>
      </c>
      <c r="G207" s="11">
        <v>1</v>
      </c>
      <c r="H207" s="11">
        <v>85</v>
      </c>
      <c r="I207" s="11">
        <v>84</v>
      </c>
      <c r="J207" s="11">
        <v>1</v>
      </c>
      <c r="K207" s="11">
        <v>0</v>
      </c>
      <c r="L207" s="12">
        <v>137.83193628640211</v>
      </c>
      <c r="M207" s="12">
        <v>128.63646095610571</v>
      </c>
      <c r="N207" s="12">
        <v>249.34391947197579</v>
      </c>
      <c r="O207" s="12">
        <v>312.09100610128479</v>
      </c>
      <c r="P207" s="12">
        <v>52.207672364140002</v>
      </c>
      <c r="Q207" s="12">
        <v>335.54279943885081</v>
      </c>
      <c r="R207" s="12">
        <v>60.0027268437873</v>
      </c>
      <c r="S207" s="12">
        <v>0.4353325394711654</v>
      </c>
      <c r="T207" s="12">
        <v>20</v>
      </c>
      <c r="U207" s="12">
        <v>4.1500000000000004</v>
      </c>
      <c r="V207" s="12">
        <v>4.25</v>
      </c>
      <c r="W207" s="12">
        <v>4.25</v>
      </c>
      <c r="X207" s="12">
        <v>4.2</v>
      </c>
      <c r="Y207" s="12">
        <v>1.1764705882352939</v>
      </c>
      <c r="Z207" s="12"/>
      <c r="AA207" s="12"/>
      <c r="AB207" s="11">
        <v>0</v>
      </c>
      <c r="AC207" s="12">
        <v>0</v>
      </c>
      <c r="AD207" s="11">
        <v>4</v>
      </c>
      <c r="AE207" s="13" t="b">
        <v>1</v>
      </c>
      <c r="AF207" s="10" t="s">
        <v>60</v>
      </c>
      <c r="AG207" s="10" t="s">
        <v>61</v>
      </c>
      <c r="AH207" s="12"/>
    </row>
    <row r="208" spans="1:34" ht="32.1" customHeight="1" x14ac:dyDescent="0.25">
      <c r="A208" s="10" t="s">
        <v>56</v>
      </c>
      <c r="B208" s="10" t="s">
        <v>120</v>
      </c>
      <c r="C208" s="10" t="s">
        <v>121</v>
      </c>
      <c r="D208" s="10" t="s">
        <v>59</v>
      </c>
      <c r="E208" s="10" t="s">
        <v>59</v>
      </c>
      <c r="F208" s="10" t="s">
        <v>63</v>
      </c>
      <c r="G208" s="11">
        <v>1</v>
      </c>
      <c r="H208" s="11">
        <v>592</v>
      </c>
      <c r="I208" s="11">
        <v>583</v>
      </c>
      <c r="J208" s="11">
        <v>9</v>
      </c>
      <c r="K208" s="11">
        <v>0</v>
      </c>
      <c r="L208" s="12">
        <v>46.520302543110652</v>
      </c>
      <c r="M208" s="12">
        <v>42.679935842083403</v>
      </c>
      <c r="N208" s="12">
        <v>78.069312148802297</v>
      </c>
      <c r="O208" s="12">
        <v>99.027368814611407</v>
      </c>
      <c r="P208" s="12">
        <v>15.95857842395708</v>
      </c>
      <c r="Q208" s="12">
        <v>374.88626665714651</v>
      </c>
      <c r="R208" s="12">
        <v>22.349278682676001</v>
      </c>
      <c r="S208" s="12">
        <v>0.48041989112097411</v>
      </c>
      <c r="T208" s="12">
        <v>20</v>
      </c>
      <c r="U208" s="12">
        <v>29.05</v>
      </c>
      <c r="V208" s="12">
        <v>29.6</v>
      </c>
      <c r="W208" s="12">
        <v>29.6</v>
      </c>
      <c r="X208" s="12">
        <v>29.15</v>
      </c>
      <c r="Y208" s="12">
        <v>1.52027027027027</v>
      </c>
      <c r="Z208" s="12"/>
      <c r="AA208" s="12"/>
      <c r="AB208" s="11">
        <v>0</v>
      </c>
      <c r="AC208" s="12">
        <v>0</v>
      </c>
      <c r="AD208" s="11">
        <v>30</v>
      </c>
      <c r="AE208" s="13" t="b">
        <v>1</v>
      </c>
      <c r="AF208" s="10" t="s">
        <v>60</v>
      </c>
      <c r="AG208" s="10" t="s">
        <v>61</v>
      </c>
      <c r="AH208" s="12"/>
    </row>
    <row r="209" spans="1:34" ht="32.1" customHeight="1" x14ac:dyDescent="0.25">
      <c r="A209" s="10" t="s">
        <v>56</v>
      </c>
      <c r="B209" s="10" t="s">
        <v>120</v>
      </c>
      <c r="C209" s="10" t="s">
        <v>121</v>
      </c>
      <c r="D209" s="10" t="s">
        <v>59</v>
      </c>
      <c r="E209" s="10" t="s">
        <v>59</v>
      </c>
      <c r="F209" s="10" t="s">
        <v>64</v>
      </c>
      <c r="G209" s="11">
        <v>1</v>
      </c>
      <c r="H209" s="11">
        <v>153</v>
      </c>
      <c r="I209" s="11">
        <v>150</v>
      </c>
      <c r="J209" s="11">
        <v>3</v>
      </c>
      <c r="K209" s="11">
        <v>0</v>
      </c>
      <c r="L209" s="12">
        <v>68.462556374160812</v>
      </c>
      <c r="M209" s="12">
        <v>60.6082019548248</v>
      </c>
      <c r="N209" s="12">
        <v>121.1387940270379</v>
      </c>
      <c r="O209" s="12">
        <v>130.1108985490585</v>
      </c>
      <c r="P209" s="12">
        <v>26.074871546776048</v>
      </c>
      <c r="Q209" s="12">
        <v>131.8270041215676</v>
      </c>
      <c r="R209" s="12">
        <v>26.880428324243798</v>
      </c>
      <c r="S209" s="12">
        <v>0.39262963213551622</v>
      </c>
      <c r="T209" s="12">
        <v>20</v>
      </c>
      <c r="U209" s="12">
        <v>8.3000000000000007</v>
      </c>
      <c r="V209" s="12">
        <v>7.65</v>
      </c>
      <c r="W209" s="12">
        <v>7.65</v>
      </c>
      <c r="X209" s="12">
        <v>7.5</v>
      </c>
      <c r="Y209" s="12">
        <v>1.9607843137254899</v>
      </c>
      <c r="Z209" s="12"/>
      <c r="AA209" s="12"/>
      <c r="AB209" s="11">
        <v>0</v>
      </c>
      <c r="AC209" s="12">
        <v>0</v>
      </c>
      <c r="AD209" s="11">
        <v>7</v>
      </c>
      <c r="AE209" s="13" t="b">
        <v>1</v>
      </c>
      <c r="AF209" s="10" t="s">
        <v>60</v>
      </c>
      <c r="AG209" s="10" t="s">
        <v>61</v>
      </c>
      <c r="AH209" s="12"/>
    </row>
    <row r="210" spans="1:34" ht="32.1" customHeight="1" x14ac:dyDescent="0.25">
      <c r="A210" s="10" t="s">
        <v>56</v>
      </c>
      <c r="B210" s="10" t="s">
        <v>122</v>
      </c>
      <c r="C210" s="10" t="s">
        <v>121</v>
      </c>
      <c r="D210" s="10" t="s">
        <v>59</v>
      </c>
      <c r="E210" s="10" t="s">
        <v>59</v>
      </c>
      <c r="F210" s="10" t="s">
        <v>5</v>
      </c>
      <c r="G210" s="11">
        <v>2</v>
      </c>
      <c r="H210" s="11">
        <v>830</v>
      </c>
      <c r="I210" s="11">
        <v>825</v>
      </c>
      <c r="J210" s="11">
        <v>5</v>
      </c>
      <c r="K210" s="11">
        <v>0</v>
      </c>
      <c r="L210" s="12">
        <v>55.84255874113952</v>
      </c>
      <c r="M210" s="12">
        <v>45.884642126975649</v>
      </c>
      <c r="N210" s="12">
        <v>125.58338934936801</v>
      </c>
      <c r="O210" s="12">
        <v>230.1455220835856</v>
      </c>
      <c r="P210" s="12">
        <v>12.59425494843663</v>
      </c>
      <c r="Q210" s="12">
        <v>947.05841763832075</v>
      </c>
      <c r="R210" s="12">
        <v>48.599839061575537</v>
      </c>
      <c r="S210" s="12">
        <v>0.87030107783674637</v>
      </c>
      <c r="T210" s="12">
        <v>20</v>
      </c>
      <c r="U210" s="12">
        <v>41.5</v>
      </c>
      <c r="V210" s="12">
        <v>41.5</v>
      </c>
      <c r="W210" s="12">
        <v>41.5</v>
      </c>
      <c r="X210" s="12">
        <v>41.25</v>
      </c>
      <c r="Y210" s="12">
        <v>0.60240963855421692</v>
      </c>
      <c r="Z210" s="12">
        <v>0</v>
      </c>
      <c r="AA210" s="12">
        <v>0</v>
      </c>
      <c r="AB210" s="11">
        <v>0</v>
      </c>
      <c r="AC210" s="12">
        <v>0</v>
      </c>
      <c r="AD210" s="11">
        <v>54</v>
      </c>
      <c r="AE210" s="13" t="b">
        <v>1</v>
      </c>
      <c r="AF210" s="10" t="s">
        <v>60</v>
      </c>
      <c r="AG210" s="10" t="s">
        <v>61</v>
      </c>
      <c r="AH210" s="12"/>
    </row>
    <row r="211" spans="1:34" ht="32.1" customHeight="1" x14ac:dyDescent="0.25">
      <c r="A211" s="10" t="s">
        <v>56</v>
      </c>
      <c r="B211" s="10" t="s">
        <v>122</v>
      </c>
      <c r="C211" s="10" t="s">
        <v>121</v>
      </c>
      <c r="D211" s="10" t="s">
        <v>59</v>
      </c>
      <c r="E211" s="10" t="s">
        <v>59</v>
      </c>
      <c r="F211" s="10" t="s">
        <v>62</v>
      </c>
      <c r="G211" s="11">
        <v>2</v>
      </c>
      <c r="H211" s="11">
        <v>72</v>
      </c>
      <c r="I211" s="11">
        <v>72</v>
      </c>
      <c r="J211" s="11">
        <v>0</v>
      </c>
      <c r="K211" s="11">
        <v>0</v>
      </c>
      <c r="L211" s="12">
        <v>135.96557264636991</v>
      </c>
      <c r="M211" s="12">
        <v>123.9314401769459</v>
      </c>
      <c r="N211" s="12">
        <v>245.40949696930849</v>
      </c>
      <c r="O211" s="12">
        <v>297.8141709215908</v>
      </c>
      <c r="P211" s="12">
        <v>57.037938827220778</v>
      </c>
      <c r="Q211" s="12">
        <v>359.96071533044659</v>
      </c>
      <c r="R211" s="12">
        <v>58.795877528324098</v>
      </c>
      <c r="S211" s="12">
        <v>0.43243209574268549</v>
      </c>
      <c r="T211" s="12">
        <v>20</v>
      </c>
      <c r="U211" s="12">
        <v>4.1500000000000004</v>
      </c>
      <c r="V211" s="12">
        <v>3.6</v>
      </c>
      <c r="W211" s="12">
        <v>3.6</v>
      </c>
      <c r="X211" s="12">
        <v>3.6</v>
      </c>
      <c r="Y211" s="12">
        <v>0</v>
      </c>
      <c r="Z211" s="12"/>
      <c r="AA211" s="12"/>
      <c r="AB211" s="11">
        <v>0</v>
      </c>
      <c r="AC211" s="12">
        <v>0</v>
      </c>
      <c r="AD211" s="11">
        <v>3</v>
      </c>
      <c r="AE211" s="13" t="b">
        <v>1</v>
      </c>
      <c r="AF211" s="10" t="s">
        <v>60</v>
      </c>
      <c r="AG211" s="10" t="s">
        <v>61</v>
      </c>
      <c r="AH211" s="12"/>
    </row>
    <row r="212" spans="1:34" ht="32.1" customHeight="1" x14ac:dyDescent="0.25">
      <c r="A212" s="10" t="s">
        <v>56</v>
      </c>
      <c r="B212" s="10" t="s">
        <v>122</v>
      </c>
      <c r="C212" s="10" t="s">
        <v>121</v>
      </c>
      <c r="D212" s="10" t="s">
        <v>59</v>
      </c>
      <c r="E212" s="10" t="s">
        <v>59</v>
      </c>
      <c r="F212" s="10" t="s">
        <v>63</v>
      </c>
      <c r="G212" s="11">
        <v>2</v>
      </c>
      <c r="H212" s="11">
        <v>592</v>
      </c>
      <c r="I212" s="11">
        <v>588</v>
      </c>
      <c r="J212" s="11">
        <v>4</v>
      </c>
      <c r="K212" s="11">
        <v>0</v>
      </c>
      <c r="L212" s="12">
        <v>44.246638933569358</v>
      </c>
      <c r="M212" s="12">
        <v>39.643837245489912</v>
      </c>
      <c r="N212" s="12">
        <v>72.978339954705405</v>
      </c>
      <c r="O212" s="12">
        <v>99.029500916884245</v>
      </c>
      <c r="P212" s="12">
        <v>12.59425494843663</v>
      </c>
      <c r="Q212" s="12">
        <v>947.05841763832075</v>
      </c>
      <c r="R212" s="12">
        <v>42.270604609552372</v>
      </c>
      <c r="S212" s="12">
        <v>0.95534046491115965</v>
      </c>
      <c r="T212" s="12">
        <v>20</v>
      </c>
      <c r="U212" s="12">
        <v>29.05</v>
      </c>
      <c r="V212" s="12">
        <v>29.6</v>
      </c>
      <c r="W212" s="12">
        <v>29.6</v>
      </c>
      <c r="X212" s="12">
        <v>29.4</v>
      </c>
      <c r="Y212" s="12">
        <v>0.67567567567567566</v>
      </c>
      <c r="Z212" s="12"/>
      <c r="AA212" s="12"/>
      <c r="AB212" s="11">
        <v>0</v>
      </c>
      <c r="AC212" s="12">
        <v>0</v>
      </c>
      <c r="AD212" s="11">
        <v>36</v>
      </c>
      <c r="AE212" s="13" t="b">
        <v>1</v>
      </c>
      <c r="AF212" s="10" t="s">
        <v>60</v>
      </c>
      <c r="AG212" s="10" t="s">
        <v>61</v>
      </c>
      <c r="AH212" s="12"/>
    </row>
    <row r="213" spans="1:34" ht="32.1" customHeight="1" x14ac:dyDescent="0.25">
      <c r="A213" s="10" t="s">
        <v>56</v>
      </c>
      <c r="B213" s="10" t="s">
        <v>122</v>
      </c>
      <c r="C213" s="10" t="s">
        <v>121</v>
      </c>
      <c r="D213" s="10" t="s">
        <v>59</v>
      </c>
      <c r="E213" s="10" t="s">
        <v>59</v>
      </c>
      <c r="F213" s="10" t="s">
        <v>64</v>
      </c>
      <c r="G213" s="11">
        <v>2</v>
      </c>
      <c r="H213" s="11">
        <v>166</v>
      </c>
      <c r="I213" s="11">
        <v>165</v>
      </c>
      <c r="J213" s="11">
        <v>1</v>
      </c>
      <c r="K213" s="11">
        <v>0</v>
      </c>
      <c r="L213" s="12">
        <v>62.444531782735552</v>
      </c>
      <c r="M213" s="12">
        <v>60.313617555911122</v>
      </c>
      <c r="N213" s="12">
        <v>109.6211605401769</v>
      </c>
      <c r="O213" s="12">
        <v>132.42368692284509</v>
      </c>
      <c r="P213" s="12">
        <v>20.827560403649219</v>
      </c>
      <c r="Q213" s="12">
        <v>171.04862412974131</v>
      </c>
      <c r="R213" s="12">
        <v>25.53071764985793</v>
      </c>
      <c r="S213" s="12">
        <v>0.40885433713695613</v>
      </c>
      <c r="T213" s="12">
        <v>20</v>
      </c>
      <c r="U213" s="12">
        <v>8.3000000000000007</v>
      </c>
      <c r="V213" s="12">
        <v>8.3000000000000007</v>
      </c>
      <c r="W213" s="12">
        <v>8.3000000000000007</v>
      </c>
      <c r="X213" s="12">
        <v>8.25</v>
      </c>
      <c r="Y213" s="12">
        <v>0.60240963855421692</v>
      </c>
      <c r="Z213" s="12"/>
      <c r="AA213" s="12"/>
      <c r="AB213" s="11">
        <v>0</v>
      </c>
      <c r="AC213" s="12">
        <v>0</v>
      </c>
      <c r="AD213" s="11">
        <v>15</v>
      </c>
      <c r="AE213" s="13" t="b">
        <v>1</v>
      </c>
      <c r="AF213" s="10" t="s">
        <v>60</v>
      </c>
      <c r="AG213" s="10" t="s">
        <v>61</v>
      </c>
      <c r="AH213" s="12"/>
    </row>
    <row r="214" spans="1:34" ht="32.1" customHeight="1" x14ac:dyDescent="0.25">
      <c r="A214" s="10" t="s">
        <v>56</v>
      </c>
      <c r="B214" s="10" t="s">
        <v>123</v>
      </c>
      <c r="C214" s="10" t="s">
        <v>121</v>
      </c>
      <c r="D214" s="10" t="s">
        <v>59</v>
      </c>
      <c r="E214" s="10" t="s">
        <v>59</v>
      </c>
      <c r="F214" s="10" t="s">
        <v>5</v>
      </c>
      <c r="G214" s="11">
        <v>3</v>
      </c>
      <c r="H214" s="11">
        <v>830</v>
      </c>
      <c r="I214" s="11">
        <v>815</v>
      </c>
      <c r="J214" s="11">
        <v>15</v>
      </c>
      <c r="K214" s="11">
        <v>0</v>
      </c>
      <c r="L214" s="12">
        <v>64.040790045732265</v>
      </c>
      <c r="M214" s="12">
        <v>48.781249610978414</v>
      </c>
      <c r="N214" s="12">
        <v>155.00336441845221</v>
      </c>
      <c r="O214" s="12">
        <v>226.49111761083219</v>
      </c>
      <c r="P214" s="12">
        <v>10.613492859746961</v>
      </c>
      <c r="Q214" s="12">
        <v>1153.6269680237419</v>
      </c>
      <c r="R214" s="12">
        <v>58.808262972829908</v>
      </c>
      <c r="S214" s="12">
        <v>0.91829383945504495</v>
      </c>
      <c r="T214" s="12">
        <v>20</v>
      </c>
      <c r="U214" s="12">
        <v>41.5</v>
      </c>
      <c r="V214" s="12">
        <v>41.45</v>
      </c>
      <c r="W214" s="12">
        <v>41.5</v>
      </c>
      <c r="X214" s="12">
        <v>40.75</v>
      </c>
      <c r="Y214" s="12">
        <v>1.80722891566265</v>
      </c>
      <c r="Z214" s="12">
        <v>0</v>
      </c>
      <c r="AA214" s="12">
        <v>0</v>
      </c>
      <c r="AB214" s="11">
        <v>0</v>
      </c>
      <c r="AC214" s="12">
        <v>0</v>
      </c>
      <c r="AD214" s="11">
        <v>59</v>
      </c>
      <c r="AE214" s="13" t="b">
        <v>1</v>
      </c>
      <c r="AF214" s="10" t="s">
        <v>60</v>
      </c>
      <c r="AG214" s="10" t="s">
        <v>61</v>
      </c>
      <c r="AH214" s="12"/>
    </row>
    <row r="215" spans="1:34" ht="32.1" customHeight="1" x14ac:dyDescent="0.25">
      <c r="A215" s="10" t="s">
        <v>56</v>
      </c>
      <c r="B215" s="10" t="s">
        <v>123</v>
      </c>
      <c r="C215" s="10" t="s">
        <v>121</v>
      </c>
      <c r="D215" s="10" t="s">
        <v>59</v>
      </c>
      <c r="E215" s="10" t="s">
        <v>59</v>
      </c>
      <c r="F215" s="10" t="s">
        <v>62</v>
      </c>
      <c r="G215" s="11">
        <v>3</v>
      </c>
      <c r="H215" s="11">
        <v>92</v>
      </c>
      <c r="I215" s="11">
        <v>89</v>
      </c>
      <c r="J215" s="11">
        <v>3</v>
      </c>
      <c r="K215" s="11">
        <v>0</v>
      </c>
      <c r="L215" s="12">
        <v>148.8631722754713</v>
      </c>
      <c r="M215" s="12">
        <v>139.08900471166581</v>
      </c>
      <c r="N215" s="12">
        <v>226.61372902207361</v>
      </c>
      <c r="O215" s="12">
        <v>292.05018677082279</v>
      </c>
      <c r="P215" s="12">
        <v>58.781004458183553</v>
      </c>
      <c r="Q215" s="12">
        <v>354.5561365685349</v>
      </c>
      <c r="R215" s="12">
        <v>51.719718034190741</v>
      </c>
      <c r="S215" s="12">
        <v>0.34743125007764453</v>
      </c>
      <c r="T215" s="12">
        <v>20</v>
      </c>
      <c r="U215" s="12">
        <v>4.1500000000000004</v>
      </c>
      <c r="V215" s="12">
        <v>4.55</v>
      </c>
      <c r="W215" s="12">
        <v>4.5999999999999996</v>
      </c>
      <c r="X215" s="12">
        <v>4.45</v>
      </c>
      <c r="Y215" s="12">
        <v>3.2608695652173911</v>
      </c>
      <c r="Z215" s="12"/>
      <c r="AA215" s="12"/>
      <c r="AB215" s="11">
        <v>0</v>
      </c>
      <c r="AC215" s="12">
        <v>0</v>
      </c>
      <c r="AD215" s="11">
        <v>7</v>
      </c>
      <c r="AE215" s="13" t="b">
        <v>1</v>
      </c>
      <c r="AF215" s="10" t="s">
        <v>60</v>
      </c>
      <c r="AG215" s="10" t="s">
        <v>61</v>
      </c>
      <c r="AH215" s="12"/>
    </row>
    <row r="216" spans="1:34" ht="32.1" customHeight="1" x14ac:dyDescent="0.25">
      <c r="A216" s="10" t="s">
        <v>56</v>
      </c>
      <c r="B216" s="10" t="s">
        <v>123</v>
      </c>
      <c r="C216" s="10" t="s">
        <v>121</v>
      </c>
      <c r="D216" s="10" t="s">
        <v>59</v>
      </c>
      <c r="E216" s="10" t="s">
        <v>59</v>
      </c>
      <c r="F216" s="10" t="s">
        <v>63</v>
      </c>
      <c r="G216" s="11">
        <v>3</v>
      </c>
      <c r="H216" s="11">
        <v>574</v>
      </c>
      <c r="I216" s="11">
        <v>567</v>
      </c>
      <c r="J216" s="11">
        <v>7</v>
      </c>
      <c r="K216" s="11">
        <v>0</v>
      </c>
      <c r="L216" s="12">
        <v>48.172161517974722</v>
      </c>
      <c r="M216" s="12">
        <v>42.473503157108752</v>
      </c>
      <c r="N216" s="12">
        <v>82.318063898699663</v>
      </c>
      <c r="O216" s="12">
        <v>114.5280403290424</v>
      </c>
      <c r="P216" s="12">
        <v>10.613492859746961</v>
      </c>
      <c r="Q216" s="12">
        <v>1153.6269680237419</v>
      </c>
      <c r="R216" s="12">
        <v>53.802545409077361</v>
      </c>
      <c r="S216" s="12">
        <v>1.1168804494895199</v>
      </c>
      <c r="T216" s="12">
        <v>20</v>
      </c>
      <c r="U216" s="12">
        <v>29.05</v>
      </c>
      <c r="V216" s="12">
        <v>28.7</v>
      </c>
      <c r="W216" s="12">
        <v>28.7</v>
      </c>
      <c r="X216" s="12">
        <v>28.35</v>
      </c>
      <c r="Y216" s="12">
        <v>1.219512195121951</v>
      </c>
      <c r="Z216" s="12"/>
      <c r="AA216" s="12"/>
      <c r="AB216" s="11">
        <v>0</v>
      </c>
      <c r="AC216" s="12">
        <v>0</v>
      </c>
      <c r="AD216" s="11">
        <v>44</v>
      </c>
      <c r="AE216" s="13" t="b">
        <v>1</v>
      </c>
      <c r="AF216" s="10" t="s">
        <v>60</v>
      </c>
      <c r="AG216" s="10" t="s">
        <v>61</v>
      </c>
      <c r="AH216" s="12"/>
    </row>
    <row r="217" spans="1:34" ht="32.1" customHeight="1" x14ac:dyDescent="0.25">
      <c r="A217" s="10" t="s">
        <v>56</v>
      </c>
      <c r="B217" s="10" t="s">
        <v>123</v>
      </c>
      <c r="C217" s="10" t="s">
        <v>121</v>
      </c>
      <c r="D217" s="10" t="s">
        <v>59</v>
      </c>
      <c r="E217" s="10" t="s">
        <v>59</v>
      </c>
      <c r="F217" s="10" t="s">
        <v>64</v>
      </c>
      <c r="G217" s="11">
        <v>3</v>
      </c>
      <c r="H217" s="11">
        <v>164</v>
      </c>
      <c r="I217" s="11">
        <v>159</v>
      </c>
      <c r="J217" s="11">
        <v>5</v>
      </c>
      <c r="K217" s="11">
        <v>0</v>
      </c>
      <c r="L217" s="12">
        <v>71.997702300591016</v>
      </c>
      <c r="M217" s="12">
        <v>68.047952659398334</v>
      </c>
      <c r="N217" s="12">
        <v>126.6220933291103</v>
      </c>
      <c r="O217" s="12">
        <v>168.47248880580469</v>
      </c>
      <c r="P217" s="12">
        <v>27.635501959231121</v>
      </c>
      <c r="Q217" s="12">
        <v>221.782400229209</v>
      </c>
      <c r="R217" s="12">
        <v>30.141250151415861</v>
      </c>
      <c r="S217" s="12">
        <v>0.41864183422931861</v>
      </c>
      <c r="T217" s="12">
        <v>20</v>
      </c>
      <c r="U217" s="12">
        <v>8.3000000000000007</v>
      </c>
      <c r="V217" s="12">
        <v>8.1999999999999993</v>
      </c>
      <c r="W217" s="12">
        <v>8.1999999999999993</v>
      </c>
      <c r="X217" s="12">
        <v>7.95</v>
      </c>
      <c r="Y217" s="12">
        <v>3.0487804878048781</v>
      </c>
      <c r="Z217" s="12"/>
      <c r="AA217" s="12"/>
      <c r="AB217" s="11">
        <v>0</v>
      </c>
      <c r="AC217" s="12">
        <v>0</v>
      </c>
      <c r="AD217" s="11">
        <v>8</v>
      </c>
      <c r="AE217" s="13" t="b">
        <v>1</v>
      </c>
      <c r="AF217" s="10" t="s">
        <v>60</v>
      </c>
      <c r="AG217" s="10" t="s">
        <v>61</v>
      </c>
      <c r="AH217" s="12"/>
    </row>
    <row r="218" spans="1:34" ht="32.1" customHeight="1" x14ac:dyDescent="0.25">
      <c r="A218" s="10" t="s">
        <v>56</v>
      </c>
      <c r="B218" s="10" t="s">
        <v>124</v>
      </c>
      <c r="C218" s="10" t="s">
        <v>121</v>
      </c>
      <c r="D218" s="10" t="s">
        <v>59</v>
      </c>
      <c r="E218" s="10" t="s">
        <v>59</v>
      </c>
      <c r="F218" s="10" t="s">
        <v>5</v>
      </c>
      <c r="G218" s="11">
        <v>4</v>
      </c>
      <c r="H218" s="11">
        <v>830</v>
      </c>
      <c r="I218" s="11">
        <v>819</v>
      </c>
      <c r="J218" s="11">
        <v>11</v>
      </c>
      <c r="K218" s="11">
        <v>0</v>
      </c>
      <c r="L218" s="12">
        <v>62.969455328040247</v>
      </c>
      <c r="M218" s="12">
        <v>50.482295858948483</v>
      </c>
      <c r="N218" s="12">
        <v>146.33099313276941</v>
      </c>
      <c r="O218" s="12">
        <v>244.3536372773373</v>
      </c>
      <c r="P218" s="12">
        <v>16.200087762405619</v>
      </c>
      <c r="Q218" s="12">
        <v>604.45086425507077</v>
      </c>
      <c r="R218" s="12">
        <v>49.119724950823183</v>
      </c>
      <c r="S218" s="12">
        <v>0.78005637328341637</v>
      </c>
      <c r="T218" s="12">
        <v>20</v>
      </c>
      <c r="U218" s="12">
        <v>41.5</v>
      </c>
      <c r="V218" s="12">
        <v>41.5</v>
      </c>
      <c r="W218" s="12">
        <v>41.5</v>
      </c>
      <c r="X218" s="12">
        <v>40.950000000000003</v>
      </c>
      <c r="Y218" s="12">
        <v>1.3253012048192769</v>
      </c>
      <c r="Z218" s="12">
        <v>0</v>
      </c>
      <c r="AA218" s="12">
        <v>0</v>
      </c>
      <c r="AB218" s="11">
        <v>0</v>
      </c>
      <c r="AC218" s="12">
        <v>0</v>
      </c>
      <c r="AD218" s="11">
        <v>46</v>
      </c>
      <c r="AE218" s="13" t="b">
        <v>1</v>
      </c>
      <c r="AF218" s="10" t="s">
        <v>60</v>
      </c>
      <c r="AG218" s="10" t="s">
        <v>61</v>
      </c>
      <c r="AH218" s="12"/>
    </row>
    <row r="219" spans="1:34" ht="32.1" customHeight="1" x14ac:dyDescent="0.25">
      <c r="A219" s="10" t="s">
        <v>56</v>
      </c>
      <c r="B219" s="10" t="s">
        <v>124</v>
      </c>
      <c r="C219" s="10" t="s">
        <v>121</v>
      </c>
      <c r="D219" s="10" t="s">
        <v>59</v>
      </c>
      <c r="E219" s="10" t="s">
        <v>59</v>
      </c>
      <c r="F219" s="10" t="s">
        <v>62</v>
      </c>
      <c r="G219" s="11">
        <v>4</v>
      </c>
      <c r="H219" s="11">
        <v>81</v>
      </c>
      <c r="I219" s="11">
        <v>79</v>
      </c>
      <c r="J219" s="11">
        <v>2</v>
      </c>
      <c r="K219" s="11">
        <v>0</v>
      </c>
      <c r="L219" s="12">
        <v>149.31713960448619</v>
      </c>
      <c r="M219" s="12">
        <v>129.58407483664621</v>
      </c>
      <c r="N219" s="12">
        <v>253.700831311445</v>
      </c>
      <c r="O219" s="12">
        <v>319.01841564673953</v>
      </c>
      <c r="P219" s="12">
        <v>56.38297043034666</v>
      </c>
      <c r="Q219" s="12">
        <v>416.42913029464739</v>
      </c>
      <c r="R219" s="12">
        <v>65.2340890609089</v>
      </c>
      <c r="S219" s="12">
        <v>0.43688279345359848</v>
      </c>
      <c r="T219" s="12">
        <v>20</v>
      </c>
      <c r="U219" s="12">
        <v>4.1500000000000004</v>
      </c>
      <c r="V219" s="12">
        <v>4.05</v>
      </c>
      <c r="W219" s="12">
        <v>4.05</v>
      </c>
      <c r="X219" s="12">
        <v>3.95</v>
      </c>
      <c r="Y219" s="12">
        <v>2.4691358024691361</v>
      </c>
      <c r="Z219" s="12"/>
      <c r="AA219" s="12"/>
      <c r="AB219" s="11">
        <v>0</v>
      </c>
      <c r="AC219" s="12">
        <v>0</v>
      </c>
      <c r="AD219" s="11">
        <v>8</v>
      </c>
      <c r="AE219" s="13" t="b">
        <v>1</v>
      </c>
      <c r="AF219" s="10" t="s">
        <v>60</v>
      </c>
      <c r="AG219" s="10" t="s">
        <v>61</v>
      </c>
      <c r="AH219" s="12"/>
    </row>
    <row r="220" spans="1:34" ht="32.1" customHeight="1" x14ac:dyDescent="0.25">
      <c r="A220" s="10" t="s">
        <v>56</v>
      </c>
      <c r="B220" s="10" t="s">
        <v>124</v>
      </c>
      <c r="C220" s="10" t="s">
        <v>121</v>
      </c>
      <c r="D220" s="10" t="s">
        <v>59</v>
      </c>
      <c r="E220" s="10" t="s">
        <v>59</v>
      </c>
      <c r="F220" s="10" t="s">
        <v>63</v>
      </c>
      <c r="G220" s="11">
        <v>4</v>
      </c>
      <c r="H220" s="11">
        <v>602</v>
      </c>
      <c r="I220" s="11">
        <v>596</v>
      </c>
      <c r="J220" s="11">
        <v>6</v>
      </c>
      <c r="K220" s="11">
        <v>0</v>
      </c>
      <c r="L220" s="12">
        <v>49.483999532740931</v>
      </c>
      <c r="M220" s="12">
        <v>44.460973416146892</v>
      </c>
      <c r="N220" s="12">
        <v>84.06350940186708</v>
      </c>
      <c r="O220" s="12">
        <v>109.2001291494786</v>
      </c>
      <c r="P220" s="12">
        <v>16.200087762405619</v>
      </c>
      <c r="Q220" s="12">
        <v>604.45086425507077</v>
      </c>
      <c r="R220" s="12">
        <v>36.496258554780347</v>
      </c>
      <c r="S220" s="12">
        <v>0.73753655523807693</v>
      </c>
      <c r="T220" s="12">
        <v>20</v>
      </c>
      <c r="U220" s="12">
        <v>29.05</v>
      </c>
      <c r="V220" s="12">
        <v>30.1</v>
      </c>
      <c r="W220" s="12">
        <v>30.1</v>
      </c>
      <c r="X220" s="12">
        <v>29.8</v>
      </c>
      <c r="Y220" s="12">
        <v>0.99667774086378735</v>
      </c>
      <c r="Z220" s="12"/>
      <c r="AA220" s="12"/>
      <c r="AB220" s="11">
        <v>0</v>
      </c>
      <c r="AC220" s="12">
        <v>0</v>
      </c>
      <c r="AD220" s="11">
        <v>30</v>
      </c>
      <c r="AE220" s="13" t="b">
        <v>1</v>
      </c>
      <c r="AF220" s="10" t="s">
        <v>60</v>
      </c>
      <c r="AG220" s="10" t="s">
        <v>61</v>
      </c>
      <c r="AH220" s="12"/>
    </row>
    <row r="221" spans="1:34" ht="32.1" customHeight="1" x14ac:dyDescent="0.25">
      <c r="A221" s="10" t="s">
        <v>56</v>
      </c>
      <c r="B221" s="10" t="s">
        <v>124</v>
      </c>
      <c r="C221" s="10" t="s">
        <v>121</v>
      </c>
      <c r="D221" s="10" t="s">
        <v>59</v>
      </c>
      <c r="E221" s="10" t="s">
        <v>59</v>
      </c>
      <c r="F221" s="10" t="s">
        <v>64</v>
      </c>
      <c r="G221" s="11">
        <v>4</v>
      </c>
      <c r="H221" s="11">
        <v>147</v>
      </c>
      <c r="I221" s="11">
        <v>144</v>
      </c>
      <c r="J221" s="11">
        <v>3</v>
      </c>
      <c r="K221" s="11">
        <v>0</v>
      </c>
      <c r="L221" s="12">
        <v>70.616271398639299</v>
      </c>
      <c r="M221" s="12">
        <v>65.727499120405909</v>
      </c>
      <c r="N221" s="12">
        <v>137.6219165900786</v>
      </c>
      <c r="O221" s="12">
        <v>167.19827365507371</v>
      </c>
      <c r="P221" s="12">
        <v>22.057525986296369</v>
      </c>
      <c r="Q221" s="12">
        <v>198.0069973672949</v>
      </c>
      <c r="R221" s="12">
        <v>30.65572803200925</v>
      </c>
      <c r="S221" s="12">
        <v>0.43411705864436151</v>
      </c>
      <c r="T221" s="12">
        <v>20</v>
      </c>
      <c r="U221" s="12">
        <v>8.3000000000000007</v>
      </c>
      <c r="V221" s="12">
        <v>7.35</v>
      </c>
      <c r="W221" s="12">
        <v>7.35</v>
      </c>
      <c r="X221" s="12">
        <v>7.2</v>
      </c>
      <c r="Y221" s="12">
        <v>2.0408163265306118</v>
      </c>
      <c r="Z221" s="12"/>
      <c r="AA221" s="12"/>
      <c r="AB221" s="11">
        <v>0</v>
      </c>
      <c r="AC221" s="12">
        <v>0</v>
      </c>
      <c r="AD221" s="11">
        <v>8</v>
      </c>
      <c r="AE221" s="13" t="b">
        <v>1</v>
      </c>
      <c r="AF221" s="10" t="s">
        <v>60</v>
      </c>
      <c r="AG221" s="10" t="s">
        <v>61</v>
      </c>
      <c r="AH221" s="12"/>
    </row>
    <row r="222" spans="1:34" ht="32.1" customHeight="1" x14ac:dyDescent="0.25">
      <c r="A222" s="10" t="s">
        <v>56</v>
      </c>
      <c r="B222" s="10" t="s">
        <v>125</v>
      </c>
      <c r="C222" s="10" t="s">
        <v>121</v>
      </c>
      <c r="D222" s="10" t="s">
        <v>59</v>
      </c>
      <c r="E222" s="10" t="s">
        <v>59</v>
      </c>
      <c r="F222" s="10" t="s">
        <v>5</v>
      </c>
      <c r="G222" s="11">
        <v>5</v>
      </c>
      <c r="H222" s="11">
        <v>830</v>
      </c>
      <c r="I222" s="11">
        <v>818</v>
      </c>
      <c r="J222" s="11">
        <v>12</v>
      </c>
      <c r="K222" s="11">
        <v>0</v>
      </c>
      <c r="L222" s="12">
        <v>69.266059392628634</v>
      </c>
      <c r="M222" s="12">
        <v>50.397964655754819</v>
      </c>
      <c r="N222" s="12">
        <v>156.1732731218703</v>
      </c>
      <c r="O222" s="12">
        <v>251.32638731527391</v>
      </c>
      <c r="P222" s="12">
        <v>12.72112649641403</v>
      </c>
      <c r="Q222" s="12">
        <v>4389.9055717516494</v>
      </c>
      <c r="R222" s="12">
        <v>159.28822025873509</v>
      </c>
      <c r="S222" s="12">
        <v>2.299657605116868</v>
      </c>
      <c r="T222" s="12">
        <v>20</v>
      </c>
      <c r="U222" s="12">
        <v>41.5</v>
      </c>
      <c r="V222" s="12">
        <v>41.5</v>
      </c>
      <c r="W222" s="12">
        <v>41.5</v>
      </c>
      <c r="X222" s="12">
        <v>40.9</v>
      </c>
      <c r="Y222" s="12">
        <v>1.44578313253012</v>
      </c>
      <c r="Z222" s="12">
        <v>0</v>
      </c>
      <c r="AA222" s="12">
        <v>0</v>
      </c>
      <c r="AB222" s="11">
        <v>0</v>
      </c>
      <c r="AC222" s="12">
        <v>0</v>
      </c>
      <c r="AD222" s="11">
        <v>50</v>
      </c>
      <c r="AE222" s="13" t="b">
        <v>1</v>
      </c>
      <c r="AF222" s="10" t="s">
        <v>60</v>
      </c>
      <c r="AG222" s="10" t="s">
        <v>61</v>
      </c>
      <c r="AH222" s="12"/>
    </row>
    <row r="223" spans="1:34" ht="32.1" customHeight="1" x14ac:dyDescent="0.25">
      <c r="A223" s="10" t="s">
        <v>56</v>
      </c>
      <c r="B223" s="10" t="s">
        <v>125</v>
      </c>
      <c r="C223" s="10" t="s">
        <v>121</v>
      </c>
      <c r="D223" s="10" t="s">
        <v>59</v>
      </c>
      <c r="E223" s="10" t="s">
        <v>59</v>
      </c>
      <c r="F223" s="10" t="s">
        <v>62</v>
      </c>
      <c r="G223" s="11">
        <v>5</v>
      </c>
      <c r="H223" s="11">
        <v>103</v>
      </c>
      <c r="I223" s="11">
        <v>102</v>
      </c>
      <c r="J223" s="11">
        <v>1</v>
      </c>
      <c r="K223" s="11">
        <v>0</v>
      </c>
      <c r="L223" s="12">
        <v>187.0973301414555</v>
      </c>
      <c r="M223" s="12">
        <v>136.03296934878281</v>
      </c>
      <c r="N223" s="12">
        <v>287.36225501101711</v>
      </c>
      <c r="O223" s="12">
        <v>486.0848393915125</v>
      </c>
      <c r="P223" s="12">
        <v>53.192636331344737</v>
      </c>
      <c r="Q223" s="12">
        <v>4389.9055717516494</v>
      </c>
      <c r="R223" s="12">
        <v>423.83354526728738</v>
      </c>
      <c r="S223" s="12">
        <v>2.2653104934573181</v>
      </c>
      <c r="T223" s="12">
        <v>20</v>
      </c>
      <c r="U223" s="12">
        <v>4.1500000000000004</v>
      </c>
      <c r="V223" s="12">
        <v>5.15</v>
      </c>
      <c r="W223" s="12">
        <v>5.15</v>
      </c>
      <c r="X223" s="12">
        <v>5.0999999999999996</v>
      </c>
      <c r="Y223" s="12">
        <v>0.970873786407767</v>
      </c>
      <c r="Z223" s="12"/>
      <c r="AA223" s="12"/>
      <c r="AB223" s="11">
        <v>0</v>
      </c>
      <c r="AC223" s="12">
        <v>0</v>
      </c>
      <c r="AD223" s="11">
        <v>6</v>
      </c>
      <c r="AE223" s="13" t="b">
        <v>1</v>
      </c>
      <c r="AF223" s="10" t="s">
        <v>60</v>
      </c>
      <c r="AG223" s="10" t="s">
        <v>61</v>
      </c>
      <c r="AH223" s="12"/>
    </row>
    <row r="224" spans="1:34" ht="32.1" customHeight="1" x14ac:dyDescent="0.25">
      <c r="A224" s="10" t="s">
        <v>56</v>
      </c>
      <c r="B224" s="10" t="s">
        <v>125</v>
      </c>
      <c r="C224" s="10" t="s">
        <v>121</v>
      </c>
      <c r="D224" s="10" t="s">
        <v>59</v>
      </c>
      <c r="E224" s="10" t="s">
        <v>59</v>
      </c>
      <c r="F224" s="10" t="s">
        <v>63</v>
      </c>
      <c r="G224" s="11">
        <v>5</v>
      </c>
      <c r="H224" s="11">
        <v>574</v>
      </c>
      <c r="I224" s="11">
        <v>566</v>
      </c>
      <c r="J224" s="11">
        <v>8</v>
      </c>
      <c r="K224" s="11">
        <v>0</v>
      </c>
      <c r="L224" s="12">
        <v>48.146720566106978</v>
      </c>
      <c r="M224" s="12">
        <v>42.627288333995892</v>
      </c>
      <c r="N224" s="12">
        <v>81.087752160416329</v>
      </c>
      <c r="O224" s="12">
        <v>117.3678699388599</v>
      </c>
      <c r="P224" s="12">
        <v>12.72112649641403</v>
      </c>
      <c r="Q224" s="12">
        <v>809.5789588567302</v>
      </c>
      <c r="R224" s="12">
        <v>38.873602401937731</v>
      </c>
      <c r="S224" s="12">
        <v>0.8073987583134149</v>
      </c>
      <c r="T224" s="12">
        <v>20</v>
      </c>
      <c r="U224" s="12">
        <v>29.05</v>
      </c>
      <c r="V224" s="12">
        <v>28.7</v>
      </c>
      <c r="W224" s="12">
        <v>28.7</v>
      </c>
      <c r="X224" s="12">
        <v>28.3</v>
      </c>
      <c r="Y224" s="12">
        <v>1.393728222996516</v>
      </c>
      <c r="Z224" s="12"/>
      <c r="AA224" s="12"/>
      <c r="AB224" s="11">
        <v>0</v>
      </c>
      <c r="AC224" s="12">
        <v>0</v>
      </c>
      <c r="AD224" s="11">
        <v>33</v>
      </c>
      <c r="AE224" s="13" t="b">
        <v>1</v>
      </c>
      <c r="AF224" s="10" t="s">
        <v>60</v>
      </c>
      <c r="AG224" s="10" t="s">
        <v>61</v>
      </c>
      <c r="AH224" s="12"/>
    </row>
    <row r="225" spans="1:34" ht="32.1" customHeight="1" x14ac:dyDescent="0.25">
      <c r="A225" s="10" t="s">
        <v>56</v>
      </c>
      <c r="B225" s="10" t="s">
        <v>125</v>
      </c>
      <c r="C225" s="10" t="s">
        <v>121</v>
      </c>
      <c r="D225" s="10" t="s">
        <v>59</v>
      </c>
      <c r="E225" s="10" t="s">
        <v>59</v>
      </c>
      <c r="F225" s="10" t="s">
        <v>64</v>
      </c>
      <c r="G225" s="11">
        <v>5</v>
      </c>
      <c r="H225" s="11">
        <v>153</v>
      </c>
      <c r="I225" s="11">
        <v>150</v>
      </c>
      <c r="J225" s="11">
        <v>3</v>
      </c>
      <c r="K225" s="11">
        <v>0</v>
      </c>
      <c r="L225" s="12">
        <v>69.173769191937524</v>
      </c>
      <c r="M225" s="12">
        <v>62.528102893162988</v>
      </c>
      <c r="N225" s="12">
        <v>131.68108041915829</v>
      </c>
      <c r="O225" s="12">
        <v>167.52962305925769</v>
      </c>
      <c r="P225" s="12">
        <v>20.438643581038509</v>
      </c>
      <c r="Q225" s="12">
        <v>239.23892817127879</v>
      </c>
      <c r="R225" s="12">
        <v>32.368662656090393</v>
      </c>
      <c r="S225" s="12">
        <v>0.46793261425839849</v>
      </c>
      <c r="T225" s="12">
        <v>20</v>
      </c>
      <c r="U225" s="12">
        <v>8.3000000000000007</v>
      </c>
      <c r="V225" s="12">
        <v>7.65</v>
      </c>
      <c r="W225" s="12">
        <v>7.65</v>
      </c>
      <c r="X225" s="12">
        <v>7.5</v>
      </c>
      <c r="Y225" s="12">
        <v>1.9607843137254899</v>
      </c>
      <c r="Z225" s="12"/>
      <c r="AA225" s="12"/>
      <c r="AB225" s="11">
        <v>0</v>
      </c>
      <c r="AC225" s="12">
        <v>0</v>
      </c>
      <c r="AD225" s="11">
        <v>11</v>
      </c>
      <c r="AE225" s="13" t="b">
        <v>1</v>
      </c>
      <c r="AF225" s="10" t="s">
        <v>60</v>
      </c>
      <c r="AG225" s="10" t="s">
        <v>61</v>
      </c>
      <c r="AH225" s="12"/>
    </row>
    <row r="226" spans="1:34" ht="32.1" customHeight="1" x14ac:dyDescent="0.25">
      <c r="A226" s="10" t="s">
        <v>56</v>
      </c>
      <c r="B226" s="10" t="s">
        <v>126</v>
      </c>
      <c r="C226" s="10" t="s">
        <v>121</v>
      </c>
      <c r="D226" s="10" t="s">
        <v>70</v>
      </c>
      <c r="E226" s="10" t="s">
        <v>70</v>
      </c>
      <c r="F226" s="10" t="s">
        <v>5</v>
      </c>
      <c r="G226" s="11">
        <v>1</v>
      </c>
      <c r="H226" s="11">
        <v>21</v>
      </c>
      <c r="I226" s="11">
        <v>21</v>
      </c>
      <c r="J226" s="11">
        <v>0</v>
      </c>
      <c r="K226" s="11">
        <v>0</v>
      </c>
      <c r="L226" s="12">
        <v>85.898313709464389</v>
      </c>
      <c r="M226" s="12">
        <v>34.458765003277492</v>
      </c>
      <c r="N226" s="12">
        <v>115.641894617792</v>
      </c>
      <c r="O226" s="12">
        <v>835.75885462996041</v>
      </c>
      <c r="P226" s="12">
        <v>12.382653018093061</v>
      </c>
      <c r="Q226" s="12">
        <v>1015.7880946330019</v>
      </c>
      <c r="R226" s="12">
        <v>214.52280914653221</v>
      </c>
      <c r="S226" s="12">
        <v>2.4974041966890881</v>
      </c>
      <c r="T226" s="12">
        <v>20.032684</v>
      </c>
      <c r="U226" s="12"/>
      <c r="V226" s="12">
        <v>1.048286889565073</v>
      </c>
      <c r="W226" s="12">
        <v>1.048286889565073</v>
      </c>
      <c r="X226" s="12">
        <v>1.048286889565073</v>
      </c>
      <c r="Y226" s="12">
        <v>0</v>
      </c>
      <c r="Z226" s="12">
        <v>0</v>
      </c>
      <c r="AA226" s="12">
        <v>0</v>
      </c>
      <c r="AB226" s="11">
        <v>1</v>
      </c>
      <c r="AC226" s="12">
        <v>4.7619047619047619</v>
      </c>
      <c r="AD226" s="11">
        <v>1</v>
      </c>
      <c r="AE226" s="13" t="b">
        <v>0</v>
      </c>
      <c r="AF226" s="10" t="s">
        <v>60</v>
      </c>
      <c r="AG226" s="10" t="s">
        <v>61</v>
      </c>
      <c r="AH226" s="10" t="s">
        <v>71</v>
      </c>
    </row>
    <row r="227" spans="1:34" ht="32.1" customHeight="1" x14ac:dyDescent="0.25">
      <c r="A227" s="10" t="s">
        <v>56</v>
      </c>
      <c r="B227" s="10" t="s">
        <v>126</v>
      </c>
      <c r="C227" s="10" t="s">
        <v>121</v>
      </c>
      <c r="D227" s="10" t="s">
        <v>70</v>
      </c>
      <c r="E227" s="10" t="s">
        <v>70</v>
      </c>
      <c r="F227" s="10" t="s">
        <v>62</v>
      </c>
      <c r="G227" s="11">
        <v>1</v>
      </c>
      <c r="H227" s="11">
        <v>1</v>
      </c>
      <c r="I227" s="11">
        <v>1</v>
      </c>
      <c r="J227" s="11">
        <v>0</v>
      </c>
      <c r="K227" s="11">
        <v>0</v>
      </c>
      <c r="L227" s="12">
        <v>100.48545870554631</v>
      </c>
      <c r="M227" s="12">
        <v>100.48545870554631</v>
      </c>
      <c r="N227" s="12">
        <v>100.48545870554631</v>
      </c>
      <c r="O227" s="12">
        <v>100.48545870554631</v>
      </c>
      <c r="P227" s="12">
        <v>100.48545870554631</v>
      </c>
      <c r="Q227" s="12">
        <v>100.48545870554631</v>
      </c>
      <c r="R227" s="12"/>
      <c r="S227" s="12"/>
      <c r="T227" s="12">
        <v>20.032684</v>
      </c>
      <c r="U227" s="12"/>
      <c r="V227" s="12">
        <v>4.9918423312622501E-2</v>
      </c>
      <c r="W227" s="12">
        <v>4.9918423312622501E-2</v>
      </c>
      <c r="X227" s="12">
        <v>4.9918423312622501E-2</v>
      </c>
      <c r="Y227" s="12">
        <v>0</v>
      </c>
      <c r="Z227" s="12"/>
      <c r="AA227" s="12"/>
      <c r="AB227" s="11">
        <v>0</v>
      </c>
      <c r="AC227" s="12">
        <v>0</v>
      </c>
      <c r="AD227" s="11">
        <v>0</v>
      </c>
      <c r="AE227" s="13" t="b">
        <v>0</v>
      </c>
      <c r="AF227" s="10" t="s">
        <v>60</v>
      </c>
      <c r="AG227" s="10" t="s">
        <v>61</v>
      </c>
      <c r="AH227" s="10" t="s">
        <v>71</v>
      </c>
    </row>
    <row r="228" spans="1:34" ht="32.1" customHeight="1" x14ac:dyDescent="0.25">
      <c r="A228" s="10" t="s">
        <v>56</v>
      </c>
      <c r="B228" s="10" t="s">
        <v>126</v>
      </c>
      <c r="C228" s="10" t="s">
        <v>121</v>
      </c>
      <c r="D228" s="10" t="s">
        <v>70</v>
      </c>
      <c r="E228" s="10" t="s">
        <v>70</v>
      </c>
      <c r="F228" s="10" t="s">
        <v>63</v>
      </c>
      <c r="G228" s="11">
        <v>1</v>
      </c>
      <c r="H228" s="11">
        <v>15</v>
      </c>
      <c r="I228" s="11">
        <v>15</v>
      </c>
      <c r="J228" s="11">
        <v>0</v>
      </c>
      <c r="K228" s="11">
        <v>0</v>
      </c>
      <c r="L228" s="12">
        <v>96.643129192179202</v>
      </c>
      <c r="M228" s="12">
        <v>30.68426644211516</v>
      </c>
      <c r="N228" s="12">
        <v>341.85326785248373</v>
      </c>
      <c r="O228" s="12">
        <v>881.0011292768977</v>
      </c>
      <c r="P228" s="12">
        <v>12.382653018093061</v>
      </c>
      <c r="Q228" s="12">
        <v>1015.7880946330019</v>
      </c>
      <c r="R228" s="12">
        <v>254.50017208932741</v>
      </c>
      <c r="S228" s="12">
        <v>2.633401610819559</v>
      </c>
      <c r="T228" s="12">
        <v>20.032684</v>
      </c>
      <c r="U228" s="12"/>
      <c r="V228" s="12">
        <v>0.74877634968933771</v>
      </c>
      <c r="W228" s="12">
        <v>0.74877634968933771</v>
      </c>
      <c r="X228" s="12">
        <v>0.74877634968933771</v>
      </c>
      <c r="Y228" s="12">
        <v>0</v>
      </c>
      <c r="Z228" s="12"/>
      <c r="AA228" s="12"/>
      <c r="AB228" s="11">
        <v>1</v>
      </c>
      <c r="AC228" s="12">
        <v>6.666666666666667</v>
      </c>
      <c r="AD228" s="11">
        <v>1</v>
      </c>
      <c r="AE228" s="13" t="b">
        <v>0</v>
      </c>
      <c r="AF228" s="10" t="s">
        <v>60</v>
      </c>
      <c r="AG228" s="10" t="s">
        <v>61</v>
      </c>
      <c r="AH228" s="10" t="s">
        <v>71</v>
      </c>
    </row>
    <row r="229" spans="1:34" ht="32.1" customHeight="1" x14ac:dyDescent="0.25">
      <c r="A229" s="10" t="s">
        <v>56</v>
      </c>
      <c r="B229" s="10" t="s">
        <v>126</v>
      </c>
      <c r="C229" s="10" t="s">
        <v>121</v>
      </c>
      <c r="D229" s="10" t="s">
        <v>70</v>
      </c>
      <c r="E229" s="10" t="s">
        <v>70</v>
      </c>
      <c r="F229" s="10" t="s">
        <v>64</v>
      </c>
      <c r="G229" s="11">
        <v>1</v>
      </c>
      <c r="H229" s="11">
        <v>5</v>
      </c>
      <c r="I229" s="11">
        <v>5</v>
      </c>
      <c r="J229" s="11">
        <v>0</v>
      </c>
      <c r="K229" s="11">
        <v>0</v>
      </c>
      <c r="L229" s="12">
        <v>50.746438262103688</v>
      </c>
      <c r="M229" s="12">
        <v>41.812653441931239</v>
      </c>
      <c r="N229" s="12">
        <v>100.98422977696229</v>
      </c>
      <c r="O229" s="12">
        <v>112.71036164962599</v>
      </c>
      <c r="P229" s="12">
        <v>26.743403235960031</v>
      </c>
      <c r="Q229" s="12">
        <v>115.641894617792</v>
      </c>
      <c r="R229" s="12">
        <v>37.057941593516126</v>
      </c>
      <c r="S229" s="12">
        <v>0.7302569966016742</v>
      </c>
      <c r="T229" s="12">
        <v>20.032684</v>
      </c>
      <c r="U229" s="12"/>
      <c r="V229" s="12">
        <v>0.2495921165631125</v>
      </c>
      <c r="W229" s="12">
        <v>0.2495921165631125</v>
      </c>
      <c r="X229" s="12">
        <v>0.2495921165631125</v>
      </c>
      <c r="Y229" s="12">
        <v>0</v>
      </c>
      <c r="Z229" s="12"/>
      <c r="AA229" s="12"/>
      <c r="AB229" s="11">
        <v>0</v>
      </c>
      <c r="AC229" s="12">
        <v>0</v>
      </c>
      <c r="AD229" s="11">
        <v>0</v>
      </c>
      <c r="AE229" s="13" t="b">
        <v>0</v>
      </c>
      <c r="AF229" s="10" t="s">
        <v>60</v>
      </c>
      <c r="AG229" s="10" t="s">
        <v>61</v>
      </c>
      <c r="AH229" s="10" t="s">
        <v>71</v>
      </c>
    </row>
    <row r="230" spans="1:34" ht="32.1" customHeight="1" x14ac:dyDescent="0.25">
      <c r="A230" s="10" t="s">
        <v>56</v>
      </c>
      <c r="B230" s="10" t="s">
        <v>127</v>
      </c>
      <c r="C230" s="10" t="s">
        <v>121</v>
      </c>
      <c r="D230" s="10" t="s">
        <v>70</v>
      </c>
      <c r="E230" s="10" t="s">
        <v>70</v>
      </c>
      <c r="F230" s="10" t="s">
        <v>5</v>
      </c>
      <c r="G230" s="11">
        <v>2</v>
      </c>
      <c r="H230" s="11">
        <v>21</v>
      </c>
      <c r="I230" s="11">
        <v>21</v>
      </c>
      <c r="J230" s="11">
        <v>0</v>
      </c>
      <c r="K230" s="11">
        <v>0</v>
      </c>
      <c r="L230" s="12">
        <v>40.765327465399153</v>
      </c>
      <c r="M230" s="12">
        <v>35.129050386256012</v>
      </c>
      <c r="N230" s="12">
        <v>79.711979315329714</v>
      </c>
      <c r="O230" s="12">
        <v>91.213209248867344</v>
      </c>
      <c r="P230" s="12">
        <v>10.875018907169</v>
      </c>
      <c r="Q230" s="12">
        <v>94.088516732251719</v>
      </c>
      <c r="R230" s="12">
        <v>20.170070611373891</v>
      </c>
      <c r="S230" s="12">
        <v>0.49478495244503717</v>
      </c>
      <c r="T230" s="12">
        <v>20.025628000000001</v>
      </c>
      <c r="U230" s="12"/>
      <c r="V230" s="12">
        <v>1.048656251878842</v>
      </c>
      <c r="W230" s="12">
        <v>1.048656251878842</v>
      </c>
      <c r="X230" s="12">
        <v>1.048656251878842</v>
      </c>
      <c r="Y230" s="12">
        <v>0</v>
      </c>
      <c r="Z230" s="12">
        <v>0</v>
      </c>
      <c r="AA230" s="12">
        <v>0</v>
      </c>
      <c r="AB230" s="11">
        <v>0</v>
      </c>
      <c r="AC230" s="12">
        <v>0</v>
      </c>
      <c r="AD230" s="11">
        <v>1</v>
      </c>
      <c r="AE230" s="13" t="b">
        <v>0</v>
      </c>
      <c r="AF230" s="10" t="s">
        <v>60</v>
      </c>
      <c r="AG230" s="10" t="s">
        <v>61</v>
      </c>
      <c r="AH230" s="10" t="s">
        <v>71</v>
      </c>
    </row>
    <row r="231" spans="1:34" ht="32.1" customHeight="1" x14ac:dyDescent="0.25">
      <c r="A231" s="10" t="s">
        <v>56</v>
      </c>
      <c r="B231" s="10" t="s">
        <v>127</v>
      </c>
      <c r="C231" s="10" t="s">
        <v>121</v>
      </c>
      <c r="D231" s="10" t="s">
        <v>70</v>
      </c>
      <c r="E231" s="10" t="s">
        <v>70</v>
      </c>
      <c r="F231" s="10" t="s">
        <v>62</v>
      </c>
      <c r="G231" s="11">
        <v>2</v>
      </c>
      <c r="H231" s="11">
        <v>1</v>
      </c>
      <c r="I231" s="11">
        <v>1</v>
      </c>
      <c r="J231" s="11">
        <v>0</v>
      </c>
      <c r="K231" s="11">
        <v>0</v>
      </c>
      <c r="L231" s="12">
        <v>94.088516732251719</v>
      </c>
      <c r="M231" s="12">
        <v>94.088516732251719</v>
      </c>
      <c r="N231" s="12">
        <v>94.088516732251719</v>
      </c>
      <c r="O231" s="12">
        <v>94.088516732251719</v>
      </c>
      <c r="P231" s="12">
        <v>94.088516732251719</v>
      </c>
      <c r="Q231" s="12">
        <v>94.088516732251719</v>
      </c>
      <c r="R231" s="12"/>
      <c r="S231" s="12"/>
      <c r="T231" s="12">
        <v>20.025628000000001</v>
      </c>
      <c r="U231" s="12"/>
      <c r="V231" s="12">
        <v>4.9936011994230499E-2</v>
      </c>
      <c r="W231" s="12">
        <v>4.9936011994230499E-2</v>
      </c>
      <c r="X231" s="12">
        <v>4.9936011994230499E-2</v>
      </c>
      <c r="Y231" s="12">
        <v>0</v>
      </c>
      <c r="Z231" s="12"/>
      <c r="AA231" s="12"/>
      <c r="AB231" s="11">
        <v>0</v>
      </c>
      <c r="AC231" s="12">
        <v>0</v>
      </c>
      <c r="AD231" s="11">
        <v>0</v>
      </c>
      <c r="AE231" s="13" t="b">
        <v>0</v>
      </c>
      <c r="AF231" s="10" t="s">
        <v>60</v>
      </c>
      <c r="AG231" s="10" t="s">
        <v>61</v>
      </c>
      <c r="AH231" s="10" t="s">
        <v>71</v>
      </c>
    </row>
    <row r="232" spans="1:34" ht="32.1" customHeight="1" x14ac:dyDescent="0.25">
      <c r="A232" s="10" t="s">
        <v>56</v>
      </c>
      <c r="B232" s="10" t="s">
        <v>127</v>
      </c>
      <c r="C232" s="10" t="s">
        <v>121</v>
      </c>
      <c r="D232" s="10" t="s">
        <v>70</v>
      </c>
      <c r="E232" s="10" t="s">
        <v>70</v>
      </c>
      <c r="F232" s="10" t="s">
        <v>63</v>
      </c>
      <c r="G232" s="11">
        <v>2</v>
      </c>
      <c r="H232" s="11">
        <v>16</v>
      </c>
      <c r="I232" s="11">
        <v>16</v>
      </c>
      <c r="J232" s="11">
        <v>0</v>
      </c>
      <c r="K232" s="11">
        <v>0</v>
      </c>
      <c r="L232" s="12">
        <v>35.849658255669183</v>
      </c>
      <c r="M232" s="12">
        <v>32.933466098754067</v>
      </c>
      <c r="N232" s="12">
        <v>58.953418123395657</v>
      </c>
      <c r="O232" s="12">
        <v>75.560267076942893</v>
      </c>
      <c r="P232" s="12">
        <v>10.875018907169</v>
      </c>
      <c r="Q232" s="12">
        <v>79.711979315329714</v>
      </c>
      <c r="R232" s="12">
        <v>16.678466433324949</v>
      </c>
      <c r="S232" s="12">
        <v>0.46523362410818692</v>
      </c>
      <c r="T232" s="12">
        <v>20.025628000000001</v>
      </c>
      <c r="U232" s="12"/>
      <c r="V232" s="12">
        <v>0.79897619190768943</v>
      </c>
      <c r="W232" s="12">
        <v>0.79897619190768943</v>
      </c>
      <c r="X232" s="12">
        <v>0.79897619190768943</v>
      </c>
      <c r="Y232" s="12">
        <v>0</v>
      </c>
      <c r="Z232" s="12"/>
      <c r="AA232" s="12"/>
      <c r="AB232" s="11">
        <v>0</v>
      </c>
      <c r="AC232" s="12">
        <v>0</v>
      </c>
      <c r="AD232" s="11">
        <v>0</v>
      </c>
      <c r="AE232" s="13" t="b">
        <v>0</v>
      </c>
      <c r="AF232" s="10" t="s">
        <v>60</v>
      </c>
      <c r="AG232" s="10" t="s">
        <v>61</v>
      </c>
      <c r="AH232" s="10" t="s">
        <v>71</v>
      </c>
    </row>
    <row r="233" spans="1:34" ht="32.1" customHeight="1" x14ac:dyDescent="0.25">
      <c r="A233" s="10" t="s">
        <v>56</v>
      </c>
      <c r="B233" s="10" t="s">
        <v>127</v>
      </c>
      <c r="C233" s="10" t="s">
        <v>121</v>
      </c>
      <c r="D233" s="10" t="s">
        <v>70</v>
      </c>
      <c r="E233" s="10" t="s">
        <v>70</v>
      </c>
      <c r="F233" s="10" t="s">
        <v>64</v>
      </c>
      <c r="G233" s="11">
        <v>2</v>
      </c>
      <c r="H233" s="11">
        <v>4</v>
      </c>
      <c r="I233" s="11">
        <v>4</v>
      </c>
      <c r="J233" s="11">
        <v>0</v>
      </c>
      <c r="K233" s="11">
        <v>0</v>
      </c>
      <c r="L233" s="12">
        <v>47.097206987605901</v>
      </c>
      <c r="M233" s="12">
        <v>43.339856178719039</v>
      </c>
      <c r="N233" s="12">
        <v>63.598915409952113</v>
      </c>
      <c r="O233" s="12">
        <v>65.983835247374031</v>
      </c>
      <c r="P233" s="12">
        <v>35.129050386256012</v>
      </c>
      <c r="Q233" s="12">
        <v>66.580065206729515</v>
      </c>
      <c r="R233" s="12">
        <v>13.8288606863523</v>
      </c>
      <c r="S233" s="12">
        <v>0.29362379578032088</v>
      </c>
      <c r="T233" s="12">
        <v>20.025628000000001</v>
      </c>
      <c r="U233" s="12"/>
      <c r="V233" s="12">
        <v>0.1997440479769223</v>
      </c>
      <c r="W233" s="12">
        <v>0.1997440479769223</v>
      </c>
      <c r="X233" s="12">
        <v>0.1997440479769223</v>
      </c>
      <c r="Y233" s="12">
        <v>0</v>
      </c>
      <c r="Z233" s="12"/>
      <c r="AA233" s="12"/>
      <c r="AB233" s="11">
        <v>0</v>
      </c>
      <c r="AC233" s="12">
        <v>0</v>
      </c>
      <c r="AD233" s="11">
        <v>1</v>
      </c>
      <c r="AE233" s="13" t="b">
        <v>0</v>
      </c>
      <c r="AF233" s="10" t="s">
        <v>60</v>
      </c>
      <c r="AG233" s="10" t="s">
        <v>61</v>
      </c>
      <c r="AH233" s="10" t="s">
        <v>71</v>
      </c>
    </row>
    <row r="234" spans="1:34" ht="32.1" customHeight="1" x14ac:dyDescent="0.25">
      <c r="A234" s="10" t="s">
        <v>56</v>
      </c>
      <c r="B234" s="10" t="s">
        <v>128</v>
      </c>
      <c r="C234" s="10" t="s">
        <v>121</v>
      </c>
      <c r="D234" s="10" t="s">
        <v>70</v>
      </c>
      <c r="E234" s="10" t="s">
        <v>70</v>
      </c>
      <c r="F234" s="10" t="s">
        <v>5</v>
      </c>
      <c r="G234" s="11">
        <v>3</v>
      </c>
      <c r="H234" s="11">
        <v>21</v>
      </c>
      <c r="I234" s="11">
        <v>21</v>
      </c>
      <c r="J234" s="11">
        <v>0</v>
      </c>
      <c r="K234" s="11">
        <v>0</v>
      </c>
      <c r="L234" s="12">
        <v>93.809169803258399</v>
      </c>
      <c r="M234" s="12">
        <v>48.078377077311409</v>
      </c>
      <c r="N234" s="12">
        <v>116.3937204828771</v>
      </c>
      <c r="O234" s="12">
        <v>679.81714579592165</v>
      </c>
      <c r="P234" s="12">
        <v>24.818036154755571</v>
      </c>
      <c r="Q234" s="12">
        <v>820.67300212418218</v>
      </c>
      <c r="R234" s="12">
        <v>168.68737189773699</v>
      </c>
      <c r="S234" s="12">
        <v>1.7981970446121329</v>
      </c>
      <c r="T234" s="12">
        <v>20.029160999999998</v>
      </c>
      <c r="U234" s="12"/>
      <c r="V234" s="12">
        <v>1.0484712764553641</v>
      </c>
      <c r="W234" s="12">
        <v>1.0484712764553641</v>
      </c>
      <c r="X234" s="12">
        <v>1.0484712764553641</v>
      </c>
      <c r="Y234" s="12">
        <v>0</v>
      </c>
      <c r="Z234" s="12">
        <v>0</v>
      </c>
      <c r="AA234" s="12">
        <v>0</v>
      </c>
      <c r="AB234" s="11">
        <v>1</v>
      </c>
      <c r="AC234" s="12">
        <v>4.7619047619047619</v>
      </c>
      <c r="AD234" s="11">
        <v>1</v>
      </c>
      <c r="AE234" s="13" t="b">
        <v>0</v>
      </c>
      <c r="AF234" s="10" t="s">
        <v>60</v>
      </c>
      <c r="AG234" s="10" t="s">
        <v>61</v>
      </c>
      <c r="AH234" s="10" t="s">
        <v>71</v>
      </c>
    </row>
    <row r="235" spans="1:34" ht="32.1" customHeight="1" x14ac:dyDescent="0.25">
      <c r="A235" s="10" t="s">
        <v>56</v>
      </c>
      <c r="B235" s="10" t="s">
        <v>128</v>
      </c>
      <c r="C235" s="10" t="s">
        <v>121</v>
      </c>
      <c r="D235" s="10" t="s">
        <v>70</v>
      </c>
      <c r="E235" s="10" t="s">
        <v>70</v>
      </c>
      <c r="F235" s="10" t="s">
        <v>62</v>
      </c>
      <c r="G235" s="11">
        <v>3</v>
      </c>
      <c r="H235" s="11">
        <v>4</v>
      </c>
      <c r="I235" s="11">
        <v>4</v>
      </c>
      <c r="J235" s="11">
        <v>0</v>
      </c>
      <c r="K235" s="11">
        <v>0</v>
      </c>
      <c r="L235" s="12">
        <v>101.8277065424454</v>
      </c>
      <c r="M235" s="12">
        <v>104.4991542726044</v>
      </c>
      <c r="N235" s="12">
        <v>116.0830607662231</v>
      </c>
      <c r="O235" s="12">
        <v>116.3315885395463</v>
      </c>
      <c r="P235" s="12">
        <v>81.918797141695904</v>
      </c>
      <c r="Q235" s="12">
        <v>116.3937204828771</v>
      </c>
      <c r="R235" s="12">
        <v>16.4904928406424</v>
      </c>
      <c r="S235" s="12">
        <v>0.16194504816592889</v>
      </c>
      <c r="T235" s="12">
        <v>20.029160999999998</v>
      </c>
      <c r="U235" s="12"/>
      <c r="V235" s="12">
        <v>0.1997088145629265</v>
      </c>
      <c r="W235" s="12">
        <v>0.1997088145629265</v>
      </c>
      <c r="X235" s="12">
        <v>0.1997088145629265</v>
      </c>
      <c r="Y235" s="12">
        <v>0</v>
      </c>
      <c r="Z235" s="12"/>
      <c r="AA235" s="12"/>
      <c r="AB235" s="11">
        <v>0</v>
      </c>
      <c r="AC235" s="12">
        <v>0</v>
      </c>
      <c r="AD235" s="11">
        <v>0</v>
      </c>
      <c r="AE235" s="13" t="b">
        <v>0</v>
      </c>
      <c r="AF235" s="10" t="s">
        <v>60</v>
      </c>
      <c r="AG235" s="10" t="s">
        <v>61</v>
      </c>
      <c r="AH235" s="10" t="s">
        <v>71</v>
      </c>
    </row>
    <row r="236" spans="1:34" ht="32.1" customHeight="1" x14ac:dyDescent="0.25">
      <c r="A236" s="10" t="s">
        <v>56</v>
      </c>
      <c r="B236" s="10" t="s">
        <v>128</v>
      </c>
      <c r="C236" s="10" t="s">
        <v>121</v>
      </c>
      <c r="D236" s="10" t="s">
        <v>70</v>
      </c>
      <c r="E236" s="10" t="s">
        <v>70</v>
      </c>
      <c r="F236" s="10" t="s">
        <v>63</v>
      </c>
      <c r="G236" s="11">
        <v>3</v>
      </c>
      <c r="H236" s="11">
        <v>9</v>
      </c>
      <c r="I236" s="11">
        <v>9</v>
      </c>
      <c r="J236" s="11">
        <v>0</v>
      </c>
      <c r="K236" s="11">
        <v>0</v>
      </c>
      <c r="L236" s="12">
        <v>131.895772346738</v>
      </c>
      <c r="M236" s="12">
        <v>42.706824000602502</v>
      </c>
      <c r="N236" s="12">
        <v>519.02745459642995</v>
      </c>
      <c r="O236" s="12">
        <v>760.34389261863168</v>
      </c>
      <c r="P236" s="12">
        <v>27.161267014917701</v>
      </c>
      <c r="Q236" s="12">
        <v>820.67300212418218</v>
      </c>
      <c r="R236" s="12">
        <v>258.5468901906421</v>
      </c>
      <c r="S236" s="12">
        <v>1.960236371420258</v>
      </c>
      <c r="T236" s="12">
        <v>20.029160999999998</v>
      </c>
      <c r="U236" s="12"/>
      <c r="V236" s="12">
        <v>0.44934483276658471</v>
      </c>
      <c r="W236" s="12">
        <v>0.44934483276658471</v>
      </c>
      <c r="X236" s="12">
        <v>0.44934483276658471</v>
      </c>
      <c r="Y236" s="12">
        <v>0</v>
      </c>
      <c r="Z236" s="12"/>
      <c r="AA236" s="12"/>
      <c r="AB236" s="11">
        <v>1</v>
      </c>
      <c r="AC236" s="12">
        <v>11.111111111111111</v>
      </c>
      <c r="AD236" s="11">
        <v>1</v>
      </c>
      <c r="AE236" s="13" t="b">
        <v>0</v>
      </c>
      <c r="AF236" s="10" t="s">
        <v>60</v>
      </c>
      <c r="AG236" s="10" t="s">
        <v>61</v>
      </c>
      <c r="AH236" s="10" t="s">
        <v>71</v>
      </c>
    </row>
    <row r="237" spans="1:34" ht="32.1" customHeight="1" x14ac:dyDescent="0.25">
      <c r="A237" s="10" t="s">
        <v>56</v>
      </c>
      <c r="B237" s="10" t="s">
        <v>128</v>
      </c>
      <c r="C237" s="10" t="s">
        <v>121</v>
      </c>
      <c r="D237" s="10" t="s">
        <v>70</v>
      </c>
      <c r="E237" s="10" t="s">
        <v>70</v>
      </c>
      <c r="F237" s="10" t="s">
        <v>64</v>
      </c>
      <c r="G237" s="11">
        <v>3</v>
      </c>
      <c r="H237" s="11">
        <v>8</v>
      </c>
      <c r="I237" s="11">
        <v>8</v>
      </c>
      <c r="J237" s="11">
        <v>0</v>
      </c>
      <c r="K237" s="11">
        <v>0</v>
      </c>
      <c r="L237" s="12">
        <v>46.952473572250341</v>
      </c>
      <c r="M237" s="12">
        <v>46.659453653813152</v>
      </c>
      <c r="N237" s="12">
        <v>76.001185708812002</v>
      </c>
      <c r="O237" s="12">
        <v>85.902057815343142</v>
      </c>
      <c r="P237" s="12">
        <v>24.818036154755571</v>
      </c>
      <c r="Q237" s="12">
        <v>88.37727584197593</v>
      </c>
      <c r="R237" s="12">
        <v>19.434626888019441</v>
      </c>
      <c r="S237" s="12">
        <v>0.413921257164726</v>
      </c>
      <c r="T237" s="12">
        <v>20.029160999999998</v>
      </c>
      <c r="U237" s="12"/>
      <c r="V237" s="12">
        <v>0.3994176291258531</v>
      </c>
      <c r="W237" s="12">
        <v>0.3994176291258531</v>
      </c>
      <c r="X237" s="12">
        <v>0.3994176291258531</v>
      </c>
      <c r="Y237" s="12">
        <v>0</v>
      </c>
      <c r="Z237" s="12"/>
      <c r="AA237" s="12"/>
      <c r="AB237" s="11">
        <v>0</v>
      </c>
      <c r="AC237" s="12">
        <v>0</v>
      </c>
      <c r="AD237" s="11">
        <v>0</v>
      </c>
      <c r="AE237" s="13" t="b">
        <v>0</v>
      </c>
      <c r="AF237" s="10" t="s">
        <v>60</v>
      </c>
      <c r="AG237" s="10" t="s">
        <v>61</v>
      </c>
      <c r="AH237" s="10" t="s">
        <v>71</v>
      </c>
    </row>
    <row r="238" spans="1:34" ht="32.1" customHeight="1" x14ac:dyDescent="0.25">
      <c r="A238" s="10" t="s">
        <v>56</v>
      </c>
      <c r="B238" s="10" t="s">
        <v>129</v>
      </c>
      <c r="C238" s="10" t="s">
        <v>121</v>
      </c>
      <c r="D238" s="10" t="s">
        <v>70</v>
      </c>
      <c r="E238" s="10" t="s">
        <v>70</v>
      </c>
      <c r="F238" s="10" t="s">
        <v>5</v>
      </c>
      <c r="G238" s="11">
        <v>4</v>
      </c>
      <c r="H238" s="11">
        <v>21</v>
      </c>
      <c r="I238" s="11">
        <v>21</v>
      </c>
      <c r="J238" s="11">
        <v>0</v>
      </c>
      <c r="K238" s="11">
        <v>0</v>
      </c>
      <c r="L238" s="12">
        <v>81.20267282401025</v>
      </c>
      <c r="M238" s="12">
        <v>42.614986462445081</v>
      </c>
      <c r="N238" s="12">
        <v>118.83328565534561</v>
      </c>
      <c r="O238" s="12">
        <v>644.40727150949476</v>
      </c>
      <c r="P238" s="12">
        <v>16.131262258106521</v>
      </c>
      <c r="Q238" s="12">
        <v>775.8007679730315</v>
      </c>
      <c r="R238" s="12">
        <v>161.13427859092829</v>
      </c>
      <c r="S238" s="12">
        <v>1.984346980057577</v>
      </c>
      <c r="T238" s="12">
        <v>20.051936999999999</v>
      </c>
      <c r="U238" s="12"/>
      <c r="V238" s="12">
        <v>1.0472803699712401</v>
      </c>
      <c r="W238" s="12">
        <v>1.0472803699712401</v>
      </c>
      <c r="X238" s="12">
        <v>1.0472803699712401</v>
      </c>
      <c r="Y238" s="12">
        <v>0</v>
      </c>
      <c r="Z238" s="12">
        <v>0</v>
      </c>
      <c r="AA238" s="12">
        <v>0</v>
      </c>
      <c r="AB238" s="11">
        <v>1</v>
      </c>
      <c r="AC238" s="12">
        <v>4.7619047619047619</v>
      </c>
      <c r="AD238" s="11">
        <v>3</v>
      </c>
      <c r="AE238" s="13" t="b">
        <v>0</v>
      </c>
      <c r="AF238" s="10" t="s">
        <v>60</v>
      </c>
      <c r="AG238" s="10" t="s">
        <v>61</v>
      </c>
      <c r="AH238" s="10" t="s">
        <v>71</v>
      </c>
    </row>
    <row r="239" spans="1:34" ht="32.1" customHeight="1" x14ac:dyDescent="0.25">
      <c r="A239" s="10" t="s">
        <v>56</v>
      </c>
      <c r="B239" s="10" t="s">
        <v>129</v>
      </c>
      <c r="C239" s="10" t="s">
        <v>121</v>
      </c>
      <c r="D239" s="10" t="s">
        <v>70</v>
      </c>
      <c r="E239" s="10" t="s">
        <v>70</v>
      </c>
      <c r="F239" s="10" t="s">
        <v>62</v>
      </c>
      <c r="G239" s="11">
        <v>4</v>
      </c>
      <c r="H239" s="11">
        <v>2</v>
      </c>
      <c r="I239" s="11">
        <v>2</v>
      </c>
      <c r="J239" s="11">
        <v>0</v>
      </c>
      <c r="K239" s="11">
        <v>0</v>
      </c>
      <c r="L239" s="12">
        <v>99.423328043008993</v>
      </c>
      <c r="M239" s="12">
        <v>99.423328043008993</v>
      </c>
      <c r="N239" s="12">
        <v>116.8922898941119</v>
      </c>
      <c r="O239" s="12">
        <v>118.44508650309881</v>
      </c>
      <c r="P239" s="12">
        <v>80.013370430672452</v>
      </c>
      <c r="Q239" s="12">
        <v>118.83328565534561</v>
      </c>
      <c r="R239" s="12">
        <v>27.449825300453249</v>
      </c>
      <c r="S239" s="12">
        <v>0.27609038885299508</v>
      </c>
      <c r="T239" s="12">
        <v>20.051936999999999</v>
      </c>
      <c r="U239" s="12"/>
      <c r="V239" s="12">
        <v>9.9740987616308494E-2</v>
      </c>
      <c r="W239" s="12">
        <v>9.9740987616308494E-2</v>
      </c>
      <c r="X239" s="12">
        <v>9.9740987616308494E-2</v>
      </c>
      <c r="Y239" s="12">
        <v>0</v>
      </c>
      <c r="Z239" s="12"/>
      <c r="AA239" s="12"/>
      <c r="AB239" s="11">
        <v>0</v>
      </c>
      <c r="AC239" s="12">
        <v>0</v>
      </c>
      <c r="AD239" s="11">
        <v>0</v>
      </c>
      <c r="AE239" s="13" t="b">
        <v>0</v>
      </c>
      <c r="AF239" s="10" t="s">
        <v>60</v>
      </c>
      <c r="AG239" s="10" t="s">
        <v>61</v>
      </c>
      <c r="AH239" s="10" t="s">
        <v>71</v>
      </c>
    </row>
    <row r="240" spans="1:34" ht="32.1" customHeight="1" x14ac:dyDescent="0.25">
      <c r="A240" s="10" t="s">
        <v>56</v>
      </c>
      <c r="B240" s="10" t="s">
        <v>129</v>
      </c>
      <c r="C240" s="10" t="s">
        <v>121</v>
      </c>
      <c r="D240" s="10" t="s">
        <v>70</v>
      </c>
      <c r="E240" s="10" t="s">
        <v>70</v>
      </c>
      <c r="F240" s="10" t="s">
        <v>63</v>
      </c>
      <c r="G240" s="11">
        <v>4</v>
      </c>
      <c r="H240" s="11">
        <v>14</v>
      </c>
      <c r="I240" s="11">
        <v>14</v>
      </c>
      <c r="J240" s="11">
        <v>0</v>
      </c>
      <c r="K240" s="11">
        <v>0</v>
      </c>
      <c r="L240" s="12">
        <v>33.833733879719347</v>
      </c>
      <c r="M240" s="12">
        <v>32.730481384084378</v>
      </c>
      <c r="N240" s="12">
        <v>55.497507251886987</v>
      </c>
      <c r="O240" s="12">
        <v>59.835951976699242</v>
      </c>
      <c r="P240" s="12">
        <v>16.131262258106521</v>
      </c>
      <c r="Q240" s="12">
        <v>60.920563157902322</v>
      </c>
      <c r="R240" s="12">
        <v>12.849817934759241</v>
      </c>
      <c r="S240" s="12">
        <v>0.3797930781285031</v>
      </c>
      <c r="T240" s="12">
        <v>20.051936999999999</v>
      </c>
      <c r="U240" s="12"/>
      <c r="V240" s="12">
        <v>0.69818691331416016</v>
      </c>
      <c r="W240" s="12">
        <v>0.69818691331416016</v>
      </c>
      <c r="X240" s="12">
        <v>0.69818691331416016</v>
      </c>
      <c r="Y240" s="12">
        <v>0</v>
      </c>
      <c r="Z240" s="12"/>
      <c r="AA240" s="12"/>
      <c r="AB240" s="11">
        <v>0</v>
      </c>
      <c r="AC240" s="12">
        <v>0</v>
      </c>
      <c r="AD240" s="11">
        <v>3</v>
      </c>
      <c r="AE240" s="13" t="b">
        <v>0</v>
      </c>
      <c r="AF240" s="10" t="s">
        <v>60</v>
      </c>
      <c r="AG240" s="10" t="s">
        <v>61</v>
      </c>
      <c r="AH240" s="10" t="s">
        <v>71</v>
      </c>
    </row>
    <row r="241" spans="1:34" ht="32.1" customHeight="1" x14ac:dyDescent="0.25">
      <c r="A241" s="10" t="s">
        <v>56</v>
      </c>
      <c r="B241" s="10" t="s">
        <v>129</v>
      </c>
      <c r="C241" s="10" t="s">
        <v>121</v>
      </c>
      <c r="D241" s="10" t="s">
        <v>70</v>
      </c>
      <c r="E241" s="10" t="s">
        <v>70</v>
      </c>
      <c r="F241" s="10" t="s">
        <v>64</v>
      </c>
      <c r="G241" s="11">
        <v>4</v>
      </c>
      <c r="H241" s="11">
        <v>5</v>
      </c>
      <c r="I241" s="11">
        <v>5</v>
      </c>
      <c r="J241" s="11">
        <v>0</v>
      </c>
      <c r="K241" s="11">
        <v>0</v>
      </c>
      <c r="L241" s="12">
        <v>206.54743978042521</v>
      </c>
      <c r="M241" s="12">
        <v>65.94062899882104</v>
      </c>
      <c r="N241" s="12">
        <v>637.58505704710706</v>
      </c>
      <c r="O241" s="12">
        <v>748.15762578784665</v>
      </c>
      <c r="P241" s="12">
        <v>49.938488135257373</v>
      </c>
      <c r="Q241" s="12">
        <v>775.8007679730315</v>
      </c>
      <c r="R241" s="12">
        <v>318.49298395529752</v>
      </c>
      <c r="S241" s="12">
        <v>1.5419846612181609</v>
      </c>
      <c r="T241" s="12">
        <v>20.051936999999999</v>
      </c>
      <c r="U241" s="12"/>
      <c r="V241" s="12">
        <v>0.24935246904077149</v>
      </c>
      <c r="W241" s="12">
        <v>0.24935246904077149</v>
      </c>
      <c r="X241" s="12">
        <v>0.24935246904077149</v>
      </c>
      <c r="Y241" s="12">
        <v>0</v>
      </c>
      <c r="Z241" s="12"/>
      <c r="AA241" s="12"/>
      <c r="AB241" s="11">
        <v>1</v>
      </c>
      <c r="AC241" s="12">
        <v>20</v>
      </c>
      <c r="AD241" s="11">
        <v>0</v>
      </c>
      <c r="AE241" s="13" t="b">
        <v>0</v>
      </c>
      <c r="AF241" s="10" t="s">
        <v>60</v>
      </c>
      <c r="AG241" s="10" t="s">
        <v>61</v>
      </c>
      <c r="AH241" s="10" t="s">
        <v>71</v>
      </c>
    </row>
    <row r="242" spans="1:34" ht="32.1" customHeight="1" x14ac:dyDescent="0.25">
      <c r="A242" s="10" t="s">
        <v>56</v>
      </c>
      <c r="B242" s="10" t="s">
        <v>130</v>
      </c>
      <c r="C242" s="10" t="s">
        <v>121</v>
      </c>
      <c r="D242" s="10" t="s">
        <v>70</v>
      </c>
      <c r="E242" s="10" t="s">
        <v>70</v>
      </c>
      <c r="F242" s="10" t="s">
        <v>5</v>
      </c>
      <c r="G242" s="11">
        <v>5</v>
      </c>
      <c r="H242" s="11">
        <v>21</v>
      </c>
      <c r="I242" s="11">
        <v>21</v>
      </c>
      <c r="J242" s="11">
        <v>0</v>
      </c>
      <c r="K242" s="11">
        <v>0</v>
      </c>
      <c r="L242" s="12">
        <v>66.903923948080575</v>
      </c>
      <c r="M242" s="12">
        <v>43.923878742096491</v>
      </c>
      <c r="N242" s="12">
        <v>113.8403902122092</v>
      </c>
      <c r="O242" s="12">
        <v>432.86594328667582</v>
      </c>
      <c r="P242" s="12">
        <v>13.32385331118439</v>
      </c>
      <c r="Q242" s="12">
        <v>512.62233155529213</v>
      </c>
      <c r="R242" s="12">
        <v>104.33356055478551</v>
      </c>
      <c r="S242" s="12">
        <v>1.559453532736756</v>
      </c>
      <c r="T242" s="12">
        <v>20.048120999999998</v>
      </c>
      <c r="U242" s="12"/>
      <c r="V242" s="12">
        <v>1.047479711440289</v>
      </c>
      <c r="W242" s="12">
        <v>1.047479711440289</v>
      </c>
      <c r="X242" s="12">
        <v>1.047479711440289</v>
      </c>
      <c r="Y242" s="12">
        <v>0</v>
      </c>
      <c r="Z242" s="12">
        <v>0</v>
      </c>
      <c r="AA242" s="12">
        <v>0</v>
      </c>
      <c r="AB242" s="11">
        <v>1</v>
      </c>
      <c r="AC242" s="12">
        <v>4.7619047619047619</v>
      </c>
      <c r="AD242" s="11">
        <v>1</v>
      </c>
      <c r="AE242" s="13" t="b">
        <v>0</v>
      </c>
      <c r="AF242" s="10" t="s">
        <v>60</v>
      </c>
      <c r="AG242" s="10" t="s">
        <v>61</v>
      </c>
      <c r="AH242" s="10" t="s">
        <v>71</v>
      </c>
    </row>
    <row r="243" spans="1:34" ht="32.1" customHeight="1" x14ac:dyDescent="0.25">
      <c r="A243" s="10" t="s">
        <v>56</v>
      </c>
      <c r="B243" s="10" t="s">
        <v>130</v>
      </c>
      <c r="C243" s="10" t="s">
        <v>121</v>
      </c>
      <c r="D243" s="10" t="s">
        <v>70</v>
      </c>
      <c r="E243" s="10" t="s">
        <v>70</v>
      </c>
      <c r="F243" s="10" t="s">
        <v>63</v>
      </c>
      <c r="G243" s="11">
        <v>5</v>
      </c>
      <c r="H243" s="11">
        <v>15</v>
      </c>
      <c r="I243" s="11">
        <v>15</v>
      </c>
      <c r="J243" s="11">
        <v>0</v>
      </c>
      <c r="K243" s="11">
        <v>0</v>
      </c>
      <c r="L243" s="12">
        <v>70.540113238307569</v>
      </c>
      <c r="M243" s="12">
        <v>38.767289444671228</v>
      </c>
      <c r="N243" s="12">
        <v>205.7750701703589</v>
      </c>
      <c r="O243" s="12">
        <v>451.25287927830527</v>
      </c>
      <c r="P243" s="12">
        <v>13.32385331118439</v>
      </c>
      <c r="Q243" s="12">
        <v>512.62233155529213</v>
      </c>
      <c r="R243" s="12">
        <v>123.3463970478668</v>
      </c>
      <c r="S243" s="12">
        <v>1.748599362623112</v>
      </c>
      <c r="T243" s="12">
        <v>20.048120999999998</v>
      </c>
      <c r="U243" s="12"/>
      <c r="V243" s="12">
        <v>0.74819979388592084</v>
      </c>
      <c r="W243" s="12">
        <v>0.74819979388592084</v>
      </c>
      <c r="X243" s="12">
        <v>0.74819979388592084</v>
      </c>
      <c r="Y243" s="12">
        <v>0</v>
      </c>
      <c r="Z243" s="12"/>
      <c r="AA243" s="12"/>
      <c r="AB243" s="11">
        <v>1</v>
      </c>
      <c r="AC243" s="12">
        <v>6.666666666666667</v>
      </c>
      <c r="AD243" s="11">
        <v>1</v>
      </c>
      <c r="AE243" s="13" t="b">
        <v>0</v>
      </c>
      <c r="AF243" s="10" t="s">
        <v>60</v>
      </c>
      <c r="AG243" s="10" t="s">
        <v>61</v>
      </c>
      <c r="AH243" s="10" t="s">
        <v>71</v>
      </c>
    </row>
    <row r="244" spans="1:34" ht="32.1" customHeight="1" x14ac:dyDescent="0.25">
      <c r="A244" s="10" t="s">
        <v>56</v>
      </c>
      <c r="B244" s="10" t="s">
        <v>130</v>
      </c>
      <c r="C244" s="10" t="s">
        <v>121</v>
      </c>
      <c r="D244" s="10" t="s">
        <v>70</v>
      </c>
      <c r="E244" s="10" t="s">
        <v>70</v>
      </c>
      <c r="F244" s="10" t="s">
        <v>64</v>
      </c>
      <c r="G244" s="11">
        <v>5</v>
      </c>
      <c r="H244" s="11">
        <v>6</v>
      </c>
      <c r="I244" s="11">
        <v>6</v>
      </c>
      <c r="J244" s="11">
        <v>0</v>
      </c>
      <c r="K244" s="11">
        <v>0</v>
      </c>
      <c r="L244" s="12">
        <v>57.813450722513167</v>
      </c>
      <c r="M244" s="12">
        <v>49.736468512507628</v>
      </c>
      <c r="N244" s="12">
        <v>99.096868879916798</v>
      </c>
      <c r="O244" s="12">
        <v>110.89168594575079</v>
      </c>
      <c r="P244" s="12">
        <v>36.141536710381729</v>
      </c>
      <c r="Q244" s="12">
        <v>113.8403902122092</v>
      </c>
      <c r="R244" s="12">
        <v>28.337316549094758</v>
      </c>
      <c r="S244" s="12">
        <v>0.49015092845962749</v>
      </c>
      <c r="T244" s="12">
        <v>20.048120999999998</v>
      </c>
      <c r="U244" s="12"/>
      <c r="V244" s="12">
        <v>0.29927991755436828</v>
      </c>
      <c r="W244" s="12">
        <v>0.29927991755436828</v>
      </c>
      <c r="X244" s="12">
        <v>0.29927991755436828</v>
      </c>
      <c r="Y244" s="12">
        <v>0</v>
      </c>
      <c r="Z244" s="12"/>
      <c r="AA244" s="12"/>
      <c r="AB244" s="11">
        <v>0</v>
      </c>
      <c r="AC244" s="12">
        <v>0</v>
      </c>
      <c r="AD244" s="11">
        <v>0</v>
      </c>
      <c r="AE244" s="13" t="b">
        <v>0</v>
      </c>
      <c r="AF244" s="10" t="s">
        <v>60</v>
      </c>
      <c r="AG244" s="10" t="s">
        <v>61</v>
      </c>
      <c r="AH244" s="10" t="s">
        <v>71</v>
      </c>
    </row>
    <row r="245" spans="1:34" ht="32.1" customHeight="1" x14ac:dyDescent="0.25">
      <c r="A245" s="10" t="s">
        <v>56</v>
      </c>
      <c r="B245" s="10" t="s">
        <v>131</v>
      </c>
      <c r="C245" s="10" t="s">
        <v>121</v>
      </c>
      <c r="D245" s="10" t="s">
        <v>3</v>
      </c>
      <c r="E245" s="10" t="s">
        <v>77</v>
      </c>
      <c r="F245" s="10" t="s">
        <v>5</v>
      </c>
      <c r="G245" s="11">
        <v>1</v>
      </c>
      <c r="H245" s="11">
        <v>900</v>
      </c>
      <c r="I245" s="11">
        <v>887</v>
      </c>
      <c r="J245" s="11">
        <v>13</v>
      </c>
      <c r="K245" s="11">
        <v>0</v>
      </c>
      <c r="L245" s="12">
        <v>56.729924706907539</v>
      </c>
      <c r="M245" s="12">
        <v>44.078072875698894</v>
      </c>
      <c r="N245" s="12">
        <v>135.46394733123751</v>
      </c>
      <c r="O245" s="12">
        <v>211.2742688269704</v>
      </c>
      <c r="P245" s="12">
        <v>10.002575508741931</v>
      </c>
      <c r="Q245" s="12">
        <v>1075.3585218441681</v>
      </c>
      <c r="R245" s="12">
        <v>54.077735404180657</v>
      </c>
      <c r="S245" s="12">
        <v>0.95324884853224656</v>
      </c>
      <c r="T245" s="12">
        <v>18</v>
      </c>
      <c r="U245" s="12">
        <v>50</v>
      </c>
      <c r="V245" s="12">
        <v>49.888888888888893</v>
      </c>
      <c r="W245" s="12">
        <v>50</v>
      </c>
      <c r="X245" s="12">
        <v>49.277777777777779</v>
      </c>
      <c r="Y245" s="12">
        <v>1.444444444444444</v>
      </c>
      <c r="Z245" s="12">
        <v>0</v>
      </c>
      <c r="AA245" s="12">
        <v>0</v>
      </c>
      <c r="AB245" s="11">
        <v>0</v>
      </c>
      <c r="AC245" s="12">
        <v>0</v>
      </c>
      <c r="AD245" s="11">
        <v>52</v>
      </c>
      <c r="AE245" s="13" t="b">
        <v>1</v>
      </c>
      <c r="AF245" s="10" t="s">
        <v>60</v>
      </c>
      <c r="AG245" s="10" t="s">
        <v>61</v>
      </c>
      <c r="AH245" s="12"/>
    </row>
    <row r="246" spans="1:34" ht="32.1" customHeight="1" x14ac:dyDescent="0.25">
      <c r="A246" s="10" t="s">
        <v>56</v>
      </c>
      <c r="B246" s="10" t="s">
        <v>131</v>
      </c>
      <c r="C246" s="10" t="s">
        <v>121</v>
      </c>
      <c r="D246" s="10" t="s">
        <v>3</v>
      </c>
      <c r="E246" s="10" t="s">
        <v>77</v>
      </c>
      <c r="F246" s="10" t="s">
        <v>62</v>
      </c>
      <c r="G246" s="11">
        <v>1</v>
      </c>
      <c r="H246" s="11">
        <v>91</v>
      </c>
      <c r="I246" s="11">
        <v>90</v>
      </c>
      <c r="J246" s="11">
        <v>1</v>
      </c>
      <c r="K246" s="11">
        <v>0</v>
      </c>
      <c r="L246" s="12">
        <v>137.6954185493162</v>
      </c>
      <c r="M246" s="12">
        <v>126.6184418452406</v>
      </c>
      <c r="N246" s="12">
        <v>228.11771679485179</v>
      </c>
      <c r="O246" s="12">
        <v>283.94732665108228</v>
      </c>
      <c r="P246" s="12">
        <v>53.431546808435193</v>
      </c>
      <c r="Q246" s="12">
        <v>324.85288527092672</v>
      </c>
      <c r="R246" s="12">
        <v>49.674941291194187</v>
      </c>
      <c r="S246" s="12">
        <v>0.36075957947288489</v>
      </c>
      <c r="T246" s="12">
        <v>18</v>
      </c>
      <c r="U246" s="12">
        <v>5</v>
      </c>
      <c r="V246" s="12">
        <v>5.0555555555555554</v>
      </c>
      <c r="W246" s="12">
        <v>5.0555555555555554</v>
      </c>
      <c r="X246" s="12">
        <v>5</v>
      </c>
      <c r="Y246" s="12">
        <v>1.098901098901099</v>
      </c>
      <c r="Z246" s="12"/>
      <c r="AA246" s="12"/>
      <c r="AB246" s="11">
        <v>0</v>
      </c>
      <c r="AC246" s="12">
        <v>0</v>
      </c>
      <c r="AD246" s="11">
        <v>3</v>
      </c>
      <c r="AE246" s="13" t="b">
        <v>1</v>
      </c>
      <c r="AF246" s="10" t="s">
        <v>60</v>
      </c>
      <c r="AG246" s="10" t="s">
        <v>61</v>
      </c>
      <c r="AH246" s="12"/>
    </row>
    <row r="247" spans="1:34" ht="32.1" customHeight="1" x14ac:dyDescent="0.25">
      <c r="A247" s="10" t="s">
        <v>56</v>
      </c>
      <c r="B247" s="10" t="s">
        <v>131</v>
      </c>
      <c r="C247" s="10" t="s">
        <v>121</v>
      </c>
      <c r="D247" s="10" t="s">
        <v>3</v>
      </c>
      <c r="E247" s="10" t="s">
        <v>77</v>
      </c>
      <c r="F247" s="10" t="s">
        <v>63</v>
      </c>
      <c r="G247" s="11">
        <v>1</v>
      </c>
      <c r="H247" s="11">
        <v>622</v>
      </c>
      <c r="I247" s="11">
        <v>612</v>
      </c>
      <c r="J247" s="11">
        <v>10</v>
      </c>
      <c r="K247" s="11">
        <v>0</v>
      </c>
      <c r="L247" s="12">
        <v>42.207498042389872</v>
      </c>
      <c r="M247" s="12">
        <v>39.155041046301591</v>
      </c>
      <c r="N247" s="12">
        <v>72.315499846451033</v>
      </c>
      <c r="O247" s="12">
        <v>94.901718813400166</v>
      </c>
      <c r="P247" s="12">
        <v>10.002575508741931</v>
      </c>
      <c r="Q247" s="12">
        <v>657.68955182352227</v>
      </c>
      <c r="R247" s="12">
        <v>29.600607578142441</v>
      </c>
      <c r="S247" s="12">
        <v>0.70131159038173574</v>
      </c>
      <c r="T247" s="12">
        <v>18</v>
      </c>
      <c r="U247" s="12">
        <v>35</v>
      </c>
      <c r="V247" s="12">
        <v>34.444444444444443</v>
      </c>
      <c r="W247" s="12">
        <v>34.555555555555557</v>
      </c>
      <c r="X247" s="12">
        <v>34</v>
      </c>
      <c r="Y247" s="12">
        <v>1.607717041800643</v>
      </c>
      <c r="Z247" s="12"/>
      <c r="AA247" s="12"/>
      <c r="AB247" s="11">
        <v>0</v>
      </c>
      <c r="AC247" s="12">
        <v>0</v>
      </c>
      <c r="AD247" s="11">
        <v>38</v>
      </c>
      <c r="AE247" s="13" t="b">
        <v>1</v>
      </c>
      <c r="AF247" s="10" t="s">
        <v>60</v>
      </c>
      <c r="AG247" s="10" t="s">
        <v>61</v>
      </c>
      <c r="AH247" s="12"/>
    </row>
    <row r="248" spans="1:34" ht="32.1" customHeight="1" x14ac:dyDescent="0.25">
      <c r="A248" s="10" t="s">
        <v>56</v>
      </c>
      <c r="B248" s="10" t="s">
        <v>131</v>
      </c>
      <c r="C248" s="10" t="s">
        <v>121</v>
      </c>
      <c r="D248" s="10" t="s">
        <v>3</v>
      </c>
      <c r="E248" s="10" t="s">
        <v>77</v>
      </c>
      <c r="F248" s="10" t="s">
        <v>64</v>
      </c>
      <c r="G248" s="11">
        <v>1</v>
      </c>
      <c r="H248" s="11">
        <v>187</v>
      </c>
      <c r="I248" s="11">
        <v>185</v>
      </c>
      <c r="J248" s="11">
        <v>2</v>
      </c>
      <c r="K248" s="11">
        <v>0</v>
      </c>
      <c r="L248" s="12">
        <v>65.6341463415108</v>
      </c>
      <c r="M248" s="12">
        <v>58.449868358653802</v>
      </c>
      <c r="N248" s="12">
        <v>103.98540603503039</v>
      </c>
      <c r="O248" s="12">
        <v>143.67217563922159</v>
      </c>
      <c r="P248" s="12">
        <v>19.613717235941522</v>
      </c>
      <c r="Q248" s="12">
        <v>1075.3585218441681</v>
      </c>
      <c r="R248" s="12">
        <v>77.608271619742339</v>
      </c>
      <c r="S248" s="12">
        <v>1.1824374345622961</v>
      </c>
      <c r="T248" s="12">
        <v>18</v>
      </c>
      <c r="U248" s="12">
        <v>10</v>
      </c>
      <c r="V248" s="12">
        <v>10.388888888888889</v>
      </c>
      <c r="W248" s="12">
        <v>10.388888888888889</v>
      </c>
      <c r="X248" s="12">
        <v>10.27777777777778</v>
      </c>
      <c r="Y248" s="12">
        <v>1.0695187165775399</v>
      </c>
      <c r="Z248" s="12"/>
      <c r="AA248" s="12"/>
      <c r="AB248" s="11">
        <v>0</v>
      </c>
      <c r="AC248" s="12">
        <v>0</v>
      </c>
      <c r="AD248" s="11">
        <v>11</v>
      </c>
      <c r="AE248" s="13" t="b">
        <v>1</v>
      </c>
      <c r="AF248" s="10" t="s">
        <v>60</v>
      </c>
      <c r="AG248" s="10" t="s">
        <v>61</v>
      </c>
      <c r="AH248" s="12"/>
    </row>
    <row r="249" spans="1:34" ht="32.1" customHeight="1" x14ac:dyDescent="0.25">
      <c r="A249" s="10" t="s">
        <v>56</v>
      </c>
      <c r="B249" s="10" t="s">
        <v>132</v>
      </c>
      <c r="C249" s="10" t="s">
        <v>121</v>
      </c>
      <c r="D249" s="10" t="s">
        <v>3</v>
      </c>
      <c r="E249" s="10" t="s">
        <v>77</v>
      </c>
      <c r="F249" s="10" t="s">
        <v>5</v>
      </c>
      <c r="G249" s="11">
        <v>2</v>
      </c>
      <c r="H249" s="11">
        <v>900</v>
      </c>
      <c r="I249" s="11">
        <v>889</v>
      </c>
      <c r="J249" s="11">
        <v>11</v>
      </c>
      <c r="K249" s="11">
        <v>0</v>
      </c>
      <c r="L249" s="12">
        <v>56.356739959527623</v>
      </c>
      <c r="M249" s="12">
        <v>42.067435436542112</v>
      </c>
      <c r="N249" s="12">
        <v>128.80623959165169</v>
      </c>
      <c r="O249" s="12">
        <v>212.5929400310938</v>
      </c>
      <c r="P249" s="12">
        <v>12.00907172096324</v>
      </c>
      <c r="Q249" s="12">
        <v>926.2846248912706</v>
      </c>
      <c r="R249" s="12">
        <v>63.788898802392282</v>
      </c>
      <c r="S249" s="12">
        <v>1.1318770185820191</v>
      </c>
      <c r="T249" s="12">
        <v>18</v>
      </c>
      <c r="U249" s="12">
        <v>50</v>
      </c>
      <c r="V249" s="12">
        <v>49.888888888888893</v>
      </c>
      <c r="W249" s="12">
        <v>50</v>
      </c>
      <c r="X249" s="12">
        <v>49.388888888888893</v>
      </c>
      <c r="Y249" s="12">
        <v>1.2222222222222221</v>
      </c>
      <c r="Z249" s="12">
        <v>0</v>
      </c>
      <c r="AA249" s="12">
        <v>0</v>
      </c>
      <c r="AB249" s="11">
        <v>0</v>
      </c>
      <c r="AC249" s="12">
        <v>0</v>
      </c>
      <c r="AD249" s="11">
        <v>48</v>
      </c>
      <c r="AE249" s="13" t="b">
        <v>1</v>
      </c>
      <c r="AF249" s="10" t="s">
        <v>60</v>
      </c>
      <c r="AG249" s="10" t="s">
        <v>61</v>
      </c>
      <c r="AH249" s="12"/>
    </row>
    <row r="250" spans="1:34" ht="32.1" customHeight="1" x14ac:dyDescent="0.25">
      <c r="A250" s="10" t="s">
        <v>56</v>
      </c>
      <c r="B250" s="10" t="s">
        <v>132</v>
      </c>
      <c r="C250" s="10" t="s">
        <v>121</v>
      </c>
      <c r="D250" s="10" t="s">
        <v>3</v>
      </c>
      <c r="E250" s="10" t="s">
        <v>77</v>
      </c>
      <c r="F250" s="10" t="s">
        <v>62</v>
      </c>
      <c r="G250" s="11">
        <v>2</v>
      </c>
      <c r="H250" s="11">
        <v>103</v>
      </c>
      <c r="I250" s="11">
        <v>103</v>
      </c>
      <c r="J250" s="11">
        <v>0</v>
      </c>
      <c r="K250" s="11">
        <v>0</v>
      </c>
      <c r="L250" s="12">
        <v>121.8380676607056</v>
      </c>
      <c r="M250" s="12">
        <v>116.4853869867845</v>
      </c>
      <c r="N250" s="12">
        <v>193.87236950823171</v>
      </c>
      <c r="O250" s="12">
        <v>221.13063611399861</v>
      </c>
      <c r="P250" s="12">
        <v>42.356028152167227</v>
      </c>
      <c r="Q250" s="12">
        <v>222.49892046712301</v>
      </c>
      <c r="R250" s="12">
        <v>38.695359227488943</v>
      </c>
      <c r="S250" s="12">
        <v>0.31759662616488371</v>
      </c>
      <c r="T250" s="12">
        <v>18</v>
      </c>
      <c r="U250" s="12">
        <v>5</v>
      </c>
      <c r="V250" s="12">
        <v>5.666666666666667</v>
      </c>
      <c r="W250" s="12">
        <v>5.7222222222222223</v>
      </c>
      <c r="X250" s="12">
        <v>5.7222222222222223</v>
      </c>
      <c r="Y250" s="12">
        <v>0</v>
      </c>
      <c r="Z250" s="12"/>
      <c r="AA250" s="12"/>
      <c r="AB250" s="11">
        <v>0</v>
      </c>
      <c r="AC250" s="12">
        <v>0</v>
      </c>
      <c r="AD250" s="11">
        <v>6</v>
      </c>
      <c r="AE250" s="13" t="b">
        <v>1</v>
      </c>
      <c r="AF250" s="10" t="s">
        <v>60</v>
      </c>
      <c r="AG250" s="10" t="s">
        <v>61</v>
      </c>
      <c r="AH250" s="12"/>
    </row>
    <row r="251" spans="1:34" ht="32.1" customHeight="1" x14ac:dyDescent="0.25">
      <c r="A251" s="10" t="s">
        <v>56</v>
      </c>
      <c r="B251" s="10" t="s">
        <v>132</v>
      </c>
      <c r="C251" s="10" t="s">
        <v>121</v>
      </c>
      <c r="D251" s="10" t="s">
        <v>3</v>
      </c>
      <c r="E251" s="10" t="s">
        <v>77</v>
      </c>
      <c r="F251" s="10" t="s">
        <v>63</v>
      </c>
      <c r="G251" s="11">
        <v>2</v>
      </c>
      <c r="H251" s="11">
        <v>605</v>
      </c>
      <c r="I251" s="11">
        <v>598</v>
      </c>
      <c r="J251" s="11">
        <v>7</v>
      </c>
      <c r="K251" s="11">
        <v>0</v>
      </c>
      <c r="L251" s="12">
        <v>45.302720234433323</v>
      </c>
      <c r="M251" s="12">
        <v>36.734877540854782</v>
      </c>
      <c r="N251" s="12">
        <v>70.095672913441362</v>
      </c>
      <c r="O251" s="12">
        <v>322.05478217359092</v>
      </c>
      <c r="P251" s="12">
        <v>12.00907172096324</v>
      </c>
      <c r="Q251" s="12">
        <v>926.2846248912706</v>
      </c>
      <c r="R251" s="12">
        <v>69.168524810289085</v>
      </c>
      <c r="S251" s="12">
        <v>1.526807318685381</v>
      </c>
      <c r="T251" s="12">
        <v>18</v>
      </c>
      <c r="U251" s="12">
        <v>35</v>
      </c>
      <c r="V251" s="12">
        <v>33.611111111111107</v>
      </c>
      <c r="W251" s="12">
        <v>33.611111111111107</v>
      </c>
      <c r="X251" s="12">
        <v>33.222222222222221</v>
      </c>
      <c r="Y251" s="12">
        <v>1.1570247933884299</v>
      </c>
      <c r="Z251" s="12"/>
      <c r="AA251" s="12"/>
      <c r="AB251" s="11">
        <v>0</v>
      </c>
      <c r="AC251" s="12">
        <v>0</v>
      </c>
      <c r="AD251" s="11">
        <v>31</v>
      </c>
      <c r="AE251" s="13" t="b">
        <v>1</v>
      </c>
      <c r="AF251" s="10" t="s">
        <v>60</v>
      </c>
      <c r="AG251" s="10" t="s">
        <v>61</v>
      </c>
      <c r="AH251" s="12"/>
    </row>
    <row r="252" spans="1:34" ht="32.1" customHeight="1" x14ac:dyDescent="0.25">
      <c r="A252" s="10" t="s">
        <v>56</v>
      </c>
      <c r="B252" s="10" t="s">
        <v>132</v>
      </c>
      <c r="C252" s="10" t="s">
        <v>121</v>
      </c>
      <c r="D252" s="10" t="s">
        <v>3</v>
      </c>
      <c r="E252" s="10" t="s">
        <v>77</v>
      </c>
      <c r="F252" s="10" t="s">
        <v>64</v>
      </c>
      <c r="G252" s="11">
        <v>2</v>
      </c>
      <c r="H252" s="11">
        <v>192</v>
      </c>
      <c r="I252" s="11">
        <v>188</v>
      </c>
      <c r="J252" s="11">
        <v>4</v>
      </c>
      <c r="K252" s="11">
        <v>0</v>
      </c>
      <c r="L252" s="12">
        <v>56.060412774427242</v>
      </c>
      <c r="M252" s="12">
        <v>51.348435883472867</v>
      </c>
      <c r="N252" s="12">
        <v>99.466587000660937</v>
      </c>
      <c r="O252" s="12">
        <v>114.48151881484129</v>
      </c>
      <c r="P252" s="12">
        <v>19.741413329324349</v>
      </c>
      <c r="Q252" s="12">
        <v>128.66967650931491</v>
      </c>
      <c r="R252" s="12">
        <v>22.884867712459371</v>
      </c>
      <c r="S252" s="12">
        <v>0.40821796665219401</v>
      </c>
      <c r="T252" s="12">
        <v>18</v>
      </c>
      <c r="U252" s="12">
        <v>10</v>
      </c>
      <c r="V252" s="12">
        <v>10.611111111111111</v>
      </c>
      <c r="W252" s="12">
        <v>10.66666666666667</v>
      </c>
      <c r="X252" s="12">
        <v>10.444444444444439</v>
      </c>
      <c r="Y252" s="12">
        <v>2.083333333333333</v>
      </c>
      <c r="Z252" s="12"/>
      <c r="AA252" s="12"/>
      <c r="AB252" s="11">
        <v>0</v>
      </c>
      <c r="AC252" s="12">
        <v>0</v>
      </c>
      <c r="AD252" s="11">
        <v>11</v>
      </c>
      <c r="AE252" s="13" t="b">
        <v>1</v>
      </c>
      <c r="AF252" s="10" t="s">
        <v>60</v>
      </c>
      <c r="AG252" s="10" t="s">
        <v>61</v>
      </c>
      <c r="AH252" s="12"/>
    </row>
    <row r="253" spans="1:34" ht="32.1" customHeight="1" x14ac:dyDescent="0.25">
      <c r="A253" s="10" t="s">
        <v>56</v>
      </c>
      <c r="B253" s="10" t="s">
        <v>133</v>
      </c>
      <c r="C253" s="10" t="s">
        <v>121</v>
      </c>
      <c r="D253" s="10" t="s">
        <v>3</v>
      </c>
      <c r="E253" s="10" t="s">
        <v>77</v>
      </c>
      <c r="F253" s="10" t="s">
        <v>5</v>
      </c>
      <c r="G253" s="11">
        <v>3</v>
      </c>
      <c r="H253" s="11">
        <v>900</v>
      </c>
      <c r="I253" s="11">
        <v>891</v>
      </c>
      <c r="J253" s="11">
        <v>9</v>
      </c>
      <c r="K253" s="11">
        <v>0</v>
      </c>
      <c r="L253" s="12">
        <v>49.951462524799012</v>
      </c>
      <c r="M253" s="12">
        <v>39.320857280250792</v>
      </c>
      <c r="N253" s="12">
        <v>103.80052156072399</v>
      </c>
      <c r="O253" s="12">
        <v>188.08533288997211</v>
      </c>
      <c r="P253" s="12">
        <v>11.16265218067459</v>
      </c>
      <c r="Q253" s="12">
        <v>1093.5823128121699</v>
      </c>
      <c r="R253" s="12">
        <v>61.622359037463632</v>
      </c>
      <c r="S253" s="12">
        <v>1.233644740769511</v>
      </c>
      <c r="T253" s="12">
        <v>18</v>
      </c>
      <c r="U253" s="12">
        <v>50</v>
      </c>
      <c r="V253" s="12">
        <v>49.944444444444443</v>
      </c>
      <c r="W253" s="12">
        <v>50</v>
      </c>
      <c r="X253" s="12">
        <v>49.5</v>
      </c>
      <c r="Y253" s="12">
        <v>1</v>
      </c>
      <c r="Z253" s="12">
        <v>0</v>
      </c>
      <c r="AA253" s="12">
        <v>0</v>
      </c>
      <c r="AB253" s="11">
        <v>0</v>
      </c>
      <c r="AC253" s="12">
        <v>0</v>
      </c>
      <c r="AD253" s="11">
        <v>55</v>
      </c>
      <c r="AE253" s="13" t="b">
        <v>1</v>
      </c>
      <c r="AF253" s="10" t="s">
        <v>60</v>
      </c>
      <c r="AG253" s="10" t="s">
        <v>61</v>
      </c>
      <c r="AH253" s="12"/>
    </row>
    <row r="254" spans="1:34" ht="32.1" customHeight="1" x14ac:dyDescent="0.25">
      <c r="A254" s="10" t="s">
        <v>56</v>
      </c>
      <c r="B254" s="10" t="s">
        <v>133</v>
      </c>
      <c r="C254" s="10" t="s">
        <v>121</v>
      </c>
      <c r="D254" s="10" t="s">
        <v>3</v>
      </c>
      <c r="E254" s="10" t="s">
        <v>77</v>
      </c>
      <c r="F254" s="10" t="s">
        <v>62</v>
      </c>
      <c r="G254" s="11">
        <v>3</v>
      </c>
      <c r="H254" s="11">
        <v>83</v>
      </c>
      <c r="I254" s="11">
        <v>83</v>
      </c>
      <c r="J254" s="11">
        <v>0</v>
      </c>
      <c r="K254" s="11">
        <v>0</v>
      </c>
      <c r="L254" s="12">
        <v>103.602734595328</v>
      </c>
      <c r="M254" s="12">
        <v>92.170012431108034</v>
      </c>
      <c r="N254" s="12">
        <v>186.64601839305649</v>
      </c>
      <c r="O254" s="12">
        <v>240.3446521180737</v>
      </c>
      <c r="P254" s="12">
        <v>27.070554949500941</v>
      </c>
      <c r="Q254" s="12">
        <v>270.96960342032958</v>
      </c>
      <c r="R254" s="12">
        <v>44.024872722470143</v>
      </c>
      <c r="S254" s="12">
        <v>0.42493929233075928</v>
      </c>
      <c r="T254" s="12">
        <v>18</v>
      </c>
      <c r="U254" s="12">
        <v>5</v>
      </c>
      <c r="V254" s="12">
        <v>4.6111111111111107</v>
      </c>
      <c r="W254" s="12">
        <v>4.6111111111111107</v>
      </c>
      <c r="X254" s="12">
        <v>4.6111111111111107</v>
      </c>
      <c r="Y254" s="12">
        <v>0</v>
      </c>
      <c r="Z254" s="12"/>
      <c r="AA254" s="12"/>
      <c r="AB254" s="11">
        <v>0</v>
      </c>
      <c r="AC254" s="12">
        <v>0</v>
      </c>
      <c r="AD254" s="11">
        <v>5</v>
      </c>
      <c r="AE254" s="13" t="b">
        <v>1</v>
      </c>
      <c r="AF254" s="10" t="s">
        <v>60</v>
      </c>
      <c r="AG254" s="10" t="s">
        <v>61</v>
      </c>
      <c r="AH254" s="12"/>
    </row>
    <row r="255" spans="1:34" ht="32.1" customHeight="1" x14ac:dyDescent="0.25">
      <c r="A255" s="10" t="s">
        <v>56</v>
      </c>
      <c r="B255" s="10" t="s">
        <v>133</v>
      </c>
      <c r="C255" s="10" t="s">
        <v>121</v>
      </c>
      <c r="D255" s="10" t="s">
        <v>3</v>
      </c>
      <c r="E255" s="10" t="s">
        <v>77</v>
      </c>
      <c r="F255" s="10" t="s">
        <v>63</v>
      </c>
      <c r="G255" s="11">
        <v>3</v>
      </c>
      <c r="H255" s="11">
        <v>619</v>
      </c>
      <c r="I255" s="11">
        <v>612</v>
      </c>
      <c r="J255" s="11">
        <v>7</v>
      </c>
      <c r="K255" s="11">
        <v>0</v>
      </c>
      <c r="L255" s="12">
        <v>36.992115038110903</v>
      </c>
      <c r="M255" s="12">
        <v>34.097367334105677</v>
      </c>
      <c r="N255" s="12">
        <v>64.312207967730643</v>
      </c>
      <c r="O255" s="12">
        <v>86.321043155900369</v>
      </c>
      <c r="P255" s="12">
        <v>11.16265218067459</v>
      </c>
      <c r="Q255" s="12">
        <v>383.27833990804629</v>
      </c>
      <c r="R255" s="12">
        <v>20.29948486961014</v>
      </c>
      <c r="S255" s="12">
        <v>0.54875166907046879</v>
      </c>
      <c r="T255" s="12">
        <v>18</v>
      </c>
      <c r="U255" s="12">
        <v>35</v>
      </c>
      <c r="V255" s="12">
        <v>34.333333333333343</v>
      </c>
      <c r="W255" s="12">
        <v>34.388888888888893</v>
      </c>
      <c r="X255" s="12">
        <v>34</v>
      </c>
      <c r="Y255" s="12">
        <v>1.130856219709208</v>
      </c>
      <c r="Z255" s="12"/>
      <c r="AA255" s="12"/>
      <c r="AB255" s="11">
        <v>0</v>
      </c>
      <c r="AC255" s="12">
        <v>0</v>
      </c>
      <c r="AD255" s="11">
        <v>42</v>
      </c>
      <c r="AE255" s="13" t="b">
        <v>1</v>
      </c>
      <c r="AF255" s="10" t="s">
        <v>60</v>
      </c>
      <c r="AG255" s="10" t="s">
        <v>61</v>
      </c>
      <c r="AH255" s="12"/>
    </row>
    <row r="256" spans="1:34" ht="32.1" customHeight="1" x14ac:dyDescent="0.25">
      <c r="A256" s="10" t="s">
        <v>56</v>
      </c>
      <c r="B256" s="10" t="s">
        <v>133</v>
      </c>
      <c r="C256" s="10" t="s">
        <v>121</v>
      </c>
      <c r="D256" s="10" t="s">
        <v>3</v>
      </c>
      <c r="E256" s="10" t="s">
        <v>77</v>
      </c>
      <c r="F256" s="10" t="s">
        <v>64</v>
      </c>
      <c r="G256" s="11">
        <v>3</v>
      </c>
      <c r="H256" s="11">
        <v>198</v>
      </c>
      <c r="I256" s="11">
        <v>196</v>
      </c>
      <c r="J256" s="11">
        <v>2</v>
      </c>
      <c r="K256" s="11">
        <v>0</v>
      </c>
      <c r="L256" s="12">
        <v>67.975606526849774</v>
      </c>
      <c r="M256" s="12">
        <v>49.706329588385152</v>
      </c>
      <c r="N256" s="12">
        <v>93.950575697232154</v>
      </c>
      <c r="O256" s="12">
        <v>641.59939592382125</v>
      </c>
      <c r="P256" s="12">
        <v>20.928855753783761</v>
      </c>
      <c r="Q256" s="12">
        <v>1093.5823128121699</v>
      </c>
      <c r="R256" s="12">
        <v>114.7277068927681</v>
      </c>
      <c r="S256" s="12">
        <v>1.687777612509447</v>
      </c>
      <c r="T256" s="12">
        <v>18</v>
      </c>
      <c r="U256" s="12">
        <v>10</v>
      </c>
      <c r="V256" s="12">
        <v>11</v>
      </c>
      <c r="W256" s="12">
        <v>11</v>
      </c>
      <c r="X256" s="12">
        <v>10.888888888888889</v>
      </c>
      <c r="Y256" s="12">
        <v>1.0101010101010099</v>
      </c>
      <c r="Z256" s="12"/>
      <c r="AA256" s="12"/>
      <c r="AB256" s="11">
        <v>0</v>
      </c>
      <c r="AC256" s="12">
        <v>0</v>
      </c>
      <c r="AD256" s="11">
        <v>8</v>
      </c>
      <c r="AE256" s="13" t="b">
        <v>1</v>
      </c>
      <c r="AF256" s="10" t="s">
        <v>60</v>
      </c>
      <c r="AG256" s="10" t="s">
        <v>61</v>
      </c>
      <c r="AH256" s="12"/>
    </row>
    <row r="257" spans="1:34" ht="32.1" customHeight="1" x14ac:dyDescent="0.25">
      <c r="A257" s="10" t="s">
        <v>56</v>
      </c>
      <c r="B257" s="10" t="s">
        <v>134</v>
      </c>
      <c r="C257" s="10" t="s">
        <v>121</v>
      </c>
      <c r="D257" s="10" t="s">
        <v>3</v>
      </c>
      <c r="E257" s="10" t="s">
        <v>77</v>
      </c>
      <c r="F257" s="10" t="s">
        <v>5</v>
      </c>
      <c r="G257" s="11">
        <v>4</v>
      </c>
      <c r="H257" s="11">
        <v>900</v>
      </c>
      <c r="I257" s="11">
        <v>890</v>
      </c>
      <c r="J257" s="11">
        <v>10</v>
      </c>
      <c r="K257" s="11">
        <v>0</v>
      </c>
      <c r="L257" s="12">
        <v>47.819976873136483</v>
      </c>
      <c r="M257" s="12">
        <v>36.232814331778762</v>
      </c>
      <c r="N257" s="12">
        <v>113.9290103943609</v>
      </c>
      <c r="O257" s="12">
        <v>174.36839458239021</v>
      </c>
      <c r="P257" s="12">
        <v>8.5611589461640172</v>
      </c>
      <c r="Q257" s="12">
        <v>1166.5825315345</v>
      </c>
      <c r="R257" s="12">
        <v>54.794582799602587</v>
      </c>
      <c r="S257" s="12">
        <v>1.145851302792749</v>
      </c>
      <c r="T257" s="12">
        <v>18</v>
      </c>
      <c r="U257" s="12">
        <v>50</v>
      </c>
      <c r="V257" s="12">
        <v>49.888888888888893</v>
      </c>
      <c r="W257" s="12">
        <v>50</v>
      </c>
      <c r="X257" s="12">
        <v>49.444444444444443</v>
      </c>
      <c r="Y257" s="12">
        <v>1.1111111111111109</v>
      </c>
      <c r="Z257" s="12">
        <v>0</v>
      </c>
      <c r="AA257" s="12">
        <v>0</v>
      </c>
      <c r="AB257" s="11">
        <v>0</v>
      </c>
      <c r="AC257" s="12">
        <v>0</v>
      </c>
      <c r="AD257" s="11">
        <v>56</v>
      </c>
      <c r="AE257" s="13" t="b">
        <v>1</v>
      </c>
      <c r="AF257" s="10" t="s">
        <v>60</v>
      </c>
      <c r="AG257" s="10" t="s">
        <v>61</v>
      </c>
      <c r="AH257" s="12"/>
    </row>
    <row r="258" spans="1:34" ht="32.1" customHeight="1" x14ac:dyDescent="0.25">
      <c r="A258" s="10" t="s">
        <v>56</v>
      </c>
      <c r="B258" s="10" t="s">
        <v>134</v>
      </c>
      <c r="C258" s="10" t="s">
        <v>121</v>
      </c>
      <c r="D258" s="10" t="s">
        <v>3</v>
      </c>
      <c r="E258" s="10" t="s">
        <v>77</v>
      </c>
      <c r="F258" s="10" t="s">
        <v>62</v>
      </c>
      <c r="G258" s="11">
        <v>4</v>
      </c>
      <c r="H258" s="11">
        <v>84</v>
      </c>
      <c r="I258" s="11">
        <v>83</v>
      </c>
      <c r="J258" s="11">
        <v>1</v>
      </c>
      <c r="K258" s="11">
        <v>0</v>
      </c>
      <c r="L258" s="12">
        <v>130.9023945816804</v>
      </c>
      <c r="M258" s="12">
        <v>114.2333954726987</v>
      </c>
      <c r="N258" s="12">
        <v>225.0386992333863</v>
      </c>
      <c r="O258" s="12">
        <v>426.05873247540808</v>
      </c>
      <c r="P258" s="12">
        <v>38.68887152497355</v>
      </c>
      <c r="Q258" s="12">
        <v>1166.5825315345</v>
      </c>
      <c r="R258" s="12">
        <v>123.784110557274</v>
      </c>
      <c r="S258" s="12">
        <v>0.94562143765853957</v>
      </c>
      <c r="T258" s="12">
        <v>18</v>
      </c>
      <c r="U258" s="12">
        <v>5</v>
      </c>
      <c r="V258" s="12">
        <v>4.6111111111111107</v>
      </c>
      <c r="W258" s="12">
        <v>4.666666666666667</v>
      </c>
      <c r="X258" s="12">
        <v>4.6111111111111107</v>
      </c>
      <c r="Y258" s="12">
        <v>1.19047619047619</v>
      </c>
      <c r="Z258" s="12"/>
      <c r="AA258" s="12"/>
      <c r="AB258" s="11">
        <v>0</v>
      </c>
      <c r="AC258" s="12">
        <v>0</v>
      </c>
      <c r="AD258" s="11">
        <v>4</v>
      </c>
      <c r="AE258" s="13" t="b">
        <v>1</v>
      </c>
      <c r="AF258" s="10" t="s">
        <v>60</v>
      </c>
      <c r="AG258" s="10" t="s">
        <v>61</v>
      </c>
      <c r="AH258" s="12"/>
    </row>
    <row r="259" spans="1:34" ht="32.1" customHeight="1" x14ac:dyDescent="0.25">
      <c r="A259" s="10" t="s">
        <v>56</v>
      </c>
      <c r="B259" s="10" t="s">
        <v>134</v>
      </c>
      <c r="C259" s="10" t="s">
        <v>121</v>
      </c>
      <c r="D259" s="10" t="s">
        <v>3</v>
      </c>
      <c r="E259" s="10" t="s">
        <v>77</v>
      </c>
      <c r="F259" s="10" t="s">
        <v>63</v>
      </c>
      <c r="G259" s="11">
        <v>4</v>
      </c>
      <c r="H259" s="11">
        <v>644</v>
      </c>
      <c r="I259" s="11">
        <v>635</v>
      </c>
      <c r="J259" s="11">
        <v>9</v>
      </c>
      <c r="K259" s="11">
        <v>0</v>
      </c>
      <c r="L259" s="12">
        <v>36.095634030851478</v>
      </c>
      <c r="M259" s="12">
        <v>31.608353384225861</v>
      </c>
      <c r="N259" s="12">
        <v>61.755766647494013</v>
      </c>
      <c r="O259" s="12">
        <v>79.002700923702378</v>
      </c>
      <c r="P259" s="12">
        <v>8.5611589461640172</v>
      </c>
      <c r="Q259" s="12">
        <v>602.26696538318436</v>
      </c>
      <c r="R259" s="12">
        <v>32.767824426371931</v>
      </c>
      <c r="S259" s="12">
        <v>0.9078057584018272</v>
      </c>
      <c r="T259" s="12">
        <v>18</v>
      </c>
      <c r="U259" s="12">
        <v>35</v>
      </c>
      <c r="V259" s="12">
        <v>35.722222222222221</v>
      </c>
      <c r="W259" s="12">
        <v>35.777777777777779</v>
      </c>
      <c r="X259" s="12">
        <v>35.277777777777779</v>
      </c>
      <c r="Y259" s="12">
        <v>1.3975155279503111</v>
      </c>
      <c r="Z259" s="12"/>
      <c r="AA259" s="12"/>
      <c r="AB259" s="11">
        <v>0</v>
      </c>
      <c r="AC259" s="12">
        <v>0</v>
      </c>
      <c r="AD259" s="11">
        <v>35</v>
      </c>
      <c r="AE259" s="13" t="b">
        <v>1</v>
      </c>
      <c r="AF259" s="10" t="s">
        <v>60</v>
      </c>
      <c r="AG259" s="10" t="s">
        <v>61</v>
      </c>
      <c r="AH259" s="12"/>
    </row>
    <row r="260" spans="1:34" ht="32.1" customHeight="1" x14ac:dyDescent="0.25">
      <c r="A260" s="10" t="s">
        <v>56</v>
      </c>
      <c r="B260" s="10" t="s">
        <v>134</v>
      </c>
      <c r="C260" s="10" t="s">
        <v>121</v>
      </c>
      <c r="D260" s="10" t="s">
        <v>3</v>
      </c>
      <c r="E260" s="10" t="s">
        <v>77</v>
      </c>
      <c r="F260" s="10" t="s">
        <v>64</v>
      </c>
      <c r="G260" s="11">
        <v>4</v>
      </c>
      <c r="H260" s="11">
        <v>172</v>
      </c>
      <c r="I260" s="11">
        <v>172</v>
      </c>
      <c r="J260" s="11">
        <v>0</v>
      </c>
      <c r="K260" s="11">
        <v>0</v>
      </c>
      <c r="L260" s="12">
        <v>51.142963517984413</v>
      </c>
      <c r="M260" s="12">
        <v>47.915709187866547</v>
      </c>
      <c r="N260" s="12">
        <v>87.097426200066309</v>
      </c>
      <c r="O260" s="12">
        <v>109.1034254518561</v>
      </c>
      <c r="P260" s="12">
        <v>14.688037699686021</v>
      </c>
      <c r="Q260" s="12">
        <v>118.60000125285229</v>
      </c>
      <c r="R260" s="12">
        <v>19.760730459048879</v>
      </c>
      <c r="S260" s="12">
        <v>0.3863821941428956</v>
      </c>
      <c r="T260" s="12">
        <v>18</v>
      </c>
      <c r="U260" s="12">
        <v>10</v>
      </c>
      <c r="V260" s="12">
        <v>9.5555555555555554</v>
      </c>
      <c r="W260" s="12">
        <v>9.5555555555555554</v>
      </c>
      <c r="X260" s="12">
        <v>9.5555555555555554</v>
      </c>
      <c r="Y260" s="12">
        <v>0</v>
      </c>
      <c r="Z260" s="12"/>
      <c r="AA260" s="12"/>
      <c r="AB260" s="11">
        <v>0</v>
      </c>
      <c r="AC260" s="12">
        <v>0</v>
      </c>
      <c r="AD260" s="11">
        <v>17</v>
      </c>
      <c r="AE260" s="13" t="b">
        <v>1</v>
      </c>
      <c r="AF260" s="10" t="s">
        <v>60</v>
      </c>
      <c r="AG260" s="10" t="s">
        <v>61</v>
      </c>
      <c r="AH260" s="12"/>
    </row>
    <row r="261" spans="1:34" ht="32.1" customHeight="1" x14ac:dyDescent="0.25">
      <c r="A261" s="10" t="s">
        <v>56</v>
      </c>
      <c r="B261" s="10" t="s">
        <v>135</v>
      </c>
      <c r="C261" s="10" t="s">
        <v>121</v>
      </c>
      <c r="D261" s="10" t="s">
        <v>3</v>
      </c>
      <c r="E261" s="10" t="s">
        <v>77</v>
      </c>
      <c r="F261" s="10" t="s">
        <v>5</v>
      </c>
      <c r="G261" s="11">
        <v>5</v>
      </c>
      <c r="H261" s="11">
        <v>900</v>
      </c>
      <c r="I261" s="11">
        <v>884</v>
      </c>
      <c r="J261" s="11">
        <v>16</v>
      </c>
      <c r="K261" s="11">
        <v>0</v>
      </c>
      <c r="L261" s="12">
        <v>61.5203069226745</v>
      </c>
      <c r="M261" s="12">
        <v>46.871827125889062</v>
      </c>
      <c r="N261" s="12">
        <v>129.54478395284539</v>
      </c>
      <c r="O261" s="12">
        <v>224.7642123503889</v>
      </c>
      <c r="P261" s="12">
        <v>11.846055402753541</v>
      </c>
      <c r="Q261" s="12">
        <v>1215.290029598295</v>
      </c>
      <c r="R261" s="12">
        <v>69.753861057503812</v>
      </c>
      <c r="S261" s="12">
        <v>1.133834737612381</v>
      </c>
      <c r="T261" s="12">
        <v>18</v>
      </c>
      <c r="U261" s="12">
        <v>50</v>
      </c>
      <c r="V261" s="12">
        <v>49.833333333333343</v>
      </c>
      <c r="W261" s="12">
        <v>50</v>
      </c>
      <c r="X261" s="12">
        <v>49.111111111111121</v>
      </c>
      <c r="Y261" s="12">
        <v>1.7777777777777779</v>
      </c>
      <c r="Z261" s="12">
        <v>0</v>
      </c>
      <c r="AA261" s="12">
        <v>0</v>
      </c>
      <c r="AB261" s="11">
        <v>0</v>
      </c>
      <c r="AC261" s="12">
        <v>0</v>
      </c>
      <c r="AD261" s="11">
        <v>56</v>
      </c>
      <c r="AE261" s="13" t="b">
        <v>1</v>
      </c>
      <c r="AF261" s="10" t="s">
        <v>60</v>
      </c>
      <c r="AG261" s="10" t="s">
        <v>61</v>
      </c>
      <c r="AH261" s="12"/>
    </row>
    <row r="262" spans="1:34" ht="32.1" customHeight="1" x14ac:dyDescent="0.25">
      <c r="A262" s="10" t="s">
        <v>56</v>
      </c>
      <c r="B262" s="10" t="s">
        <v>135</v>
      </c>
      <c r="C262" s="10" t="s">
        <v>121</v>
      </c>
      <c r="D262" s="10" t="s">
        <v>3</v>
      </c>
      <c r="E262" s="10" t="s">
        <v>77</v>
      </c>
      <c r="F262" s="10" t="s">
        <v>62</v>
      </c>
      <c r="G262" s="11">
        <v>5</v>
      </c>
      <c r="H262" s="11">
        <v>100</v>
      </c>
      <c r="I262" s="11">
        <v>97</v>
      </c>
      <c r="J262" s="11">
        <v>3</v>
      </c>
      <c r="K262" s="11">
        <v>0</v>
      </c>
      <c r="L262" s="12">
        <v>128.9305646017695</v>
      </c>
      <c r="M262" s="12">
        <v>118.9311378171094</v>
      </c>
      <c r="N262" s="12">
        <v>223.50580883567409</v>
      </c>
      <c r="O262" s="12">
        <v>229.4622927596686</v>
      </c>
      <c r="P262" s="12">
        <v>54.310818157408129</v>
      </c>
      <c r="Q262" s="12">
        <v>317.44525354136022</v>
      </c>
      <c r="R262" s="12">
        <v>47.335264889558928</v>
      </c>
      <c r="S262" s="12">
        <v>0.36713765301318829</v>
      </c>
      <c r="T262" s="12">
        <v>18</v>
      </c>
      <c r="U262" s="12">
        <v>5</v>
      </c>
      <c r="V262" s="12">
        <v>5.5</v>
      </c>
      <c r="W262" s="12">
        <v>5.5555555555555554</v>
      </c>
      <c r="X262" s="12">
        <v>5.3888888888888893</v>
      </c>
      <c r="Y262" s="12">
        <v>3</v>
      </c>
      <c r="Z262" s="12"/>
      <c r="AA262" s="12"/>
      <c r="AB262" s="11">
        <v>0</v>
      </c>
      <c r="AC262" s="12">
        <v>0</v>
      </c>
      <c r="AD262" s="11">
        <v>4</v>
      </c>
      <c r="AE262" s="13" t="b">
        <v>1</v>
      </c>
      <c r="AF262" s="10" t="s">
        <v>60</v>
      </c>
      <c r="AG262" s="10" t="s">
        <v>61</v>
      </c>
      <c r="AH262" s="12"/>
    </row>
    <row r="263" spans="1:34" ht="32.1" customHeight="1" x14ac:dyDescent="0.25">
      <c r="A263" s="10" t="s">
        <v>56</v>
      </c>
      <c r="B263" s="10" t="s">
        <v>135</v>
      </c>
      <c r="C263" s="10" t="s">
        <v>121</v>
      </c>
      <c r="D263" s="10" t="s">
        <v>3</v>
      </c>
      <c r="E263" s="10" t="s">
        <v>77</v>
      </c>
      <c r="F263" s="10" t="s">
        <v>63</v>
      </c>
      <c r="G263" s="11">
        <v>5</v>
      </c>
      <c r="H263" s="11">
        <v>615</v>
      </c>
      <c r="I263" s="11">
        <v>604</v>
      </c>
      <c r="J263" s="11">
        <v>11</v>
      </c>
      <c r="K263" s="11">
        <v>0</v>
      </c>
      <c r="L263" s="12">
        <v>47.745743491284152</v>
      </c>
      <c r="M263" s="12">
        <v>40.014500220411527</v>
      </c>
      <c r="N263" s="12">
        <v>78.238189824773002</v>
      </c>
      <c r="O263" s="12">
        <v>114.5918376716207</v>
      </c>
      <c r="P263" s="12">
        <v>11.846055402753541</v>
      </c>
      <c r="Q263" s="12">
        <v>811.3042446954953</v>
      </c>
      <c r="R263" s="12">
        <v>59.279391820777143</v>
      </c>
      <c r="S263" s="12">
        <v>1.241563906772096</v>
      </c>
      <c r="T263" s="12">
        <v>18</v>
      </c>
      <c r="U263" s="12">
        <v>35</v>
      </c>
      <c r="V263" s="12">
        <v>34.111111111111107</v>
      </c>
      <c r="W263" s="12">
        <v>34.166666666666657</v>
      </c>
      <c r="X263" s="12">
        <v>33.555555555555557</v>
      </c>
      <c r="Y263" s="12">
        <v>1.788617886178862</v>
      </c>
      <c r="Z263" s="12"/>
      <c r="AA263" s="12"/>
      <c r="AB263" s="11">
        <v>0</v>
      </c>
      <c r="AC263" s="12">
        <v>0</v>
      </c>
      <c r="AD263" s="11">
        <v>41</v>
      </c>
      <c r="AE263" s="13" t="b">
        <v>1</v>
      </c>
      <c r="AF263" s="10" t="s">
        <v>60</v>
      </c>
      <c r="AG263" s="10" t="s">
        <v>61</v>
      </c>
      <c r="AH263" s="12"/>
    </row>
    <row r="264" spans="1:34" ht="32.1" customHeight="1" x14ac:dyDescent="0.25">
      <c r="A264" s="10" t="s">
        <v>56</v>
      </c>
      <c r="B264" s="10" t="s">
        <v>135</v>
      </c>
      <c r="C264" s="10" t="s">
        <v>121</v>
      </c>
      <c r="D264" s="10" t="s">
        <v>3</v>
      </c>
      <c r="E264" s="10" t="s">
        <v>77</v>
      </c>
      <c r="F264" s="10" t="s">
        <v>64</v>
      </c>
      <c r="G264" s="11">
        <v>5</v>
      </c>
      <c r="H264" s="11">
        <v>185</v>
      </c>
      <c r="I264" s="11">
        <v>183</v>
      </c>
      <c r="J264" s="11">
        <v>2</v>
      </c>
      <c r="K264" s="11">
        <v>0</v>
      </c>
      <c r="L264" s="12">
        <v>70.873446070758618</v>
      </c>
      <c r="M264" s="12">
        <v>61.442637522190573</v>
      </c>
      <c r="N264" s="12">
        <v>105.1030272974463</v>
      </c>
      <c r="O264" s="12">
        <v>127.58561936504719</v>
      </c>
      <c r="P264" s="12">
        <v>22.470658881336249</v>
      </c>
      <c r="Q264" s="12">
        <v>1215.290029598295</v>
      </c>
      <c r="R264" s="12">
        <v>87.459349078492863</v>
      </c>
      <c r="S264" s="12">
        <v>1.234021399088951</v>
      </c>
      <c r="T264" s="12">
        <v>18</v>
      </c>
      <c r="U264" s="12">
        <v>10</v>
      </c>
      <c r="V264" s="12">
        <v>10.22222222222222</v>
      </c>
      <c r="W264" s="12">
        <v>10.27777777777778</v>
      </c>
      <c r="X264" s="12">
        <v>10.16666666666667</v>
      </c>
      <c r="Y264" s="12">
        <v>1.0810810810810809</v>
      </c>
      <c r="Z264" s="12"/>
      <c r="AA264" s="12"/>
      <c r="AB264" s="11">
        <v>0</v>
      </c>
      <c r="AC264" s="12">
        <v>0</v>
      </c>
      <c r="AD264" s="11">
        <v>11</v>
      </c>
      <c r="AE264" s="13" t="b">
        <v>1</v>
      </c>
      <c r="AF264" s="10" t="s">
        <v>60</v>
      </c>
      <c r="AG264" s="10" t="s">
        <v>61</v>
      </c>
      <c r="AH264" s="12"/>
    </row>
    <row r="265" spans="1:34" ht="32.1" customHeight="1" x14ac:dyDescent="0.25">
      <c r="A265" s="10" t="s">
        <v>56</v>
      </c>
      <c r="B265" s="10" t="s">
        <v>136</v>
      </c>
      <c r="C265" s="10" t="s">
        <v>121</v>
      </c>
      <c r="D265" s="10" t="s">
        <v>3</v>
      </c>
      <c r="E265" s="10" t="s">
        <v>83</v>
      </c>
      <c r="F265" s="10" t="s">
        <v>5</v>
      </c>
      <c r="G265" s="11">
        <v>1</v>
      </c>
      <c r="H265" s="11">
        <v>90</v>
      </c>
      <c r="I265" s="11">
        <v>89</v>
      </c>
      <c r="J265" s="11">
        <v>1</v>
      </c>
      <c r="K265" s="11">
        <v>0</v>
      </c>
      <c r="L265" s="12">
        <v>43.111444701307853</v>
      </c>
      <c r="M265" s="12">
        <v>35.875289815727832</v>
      </c>
      <c r="N265" s="12">
        <v>89.530840637204903</v>
      </c>
      <c r="O265" s="12">
        <v>120.810685028355</v>
      </c>
      <c r="P265" s="12">
        <v>16.21058668775704</v>
      </c>
      <c r="Q265" s="12">
        <v>152.70849442953531</v>
      </c>
      <c r="R265" s="12">
        <v>24.112722670179391</v>
      </c>
      <c r="S265" s="12">
        <v>0.55931140413505775</v>
      </c>
      <c r="T265" s="12">
        <v>18</v>
      </c>
      <c r="U265" s="12">
        <v>5</v>
      </c>
      <c r="V265" s="12">
        <v>5</v>
      </c>
      <c r="W265" s="12">
        <v>5</v>
      </c>
      <c r="X265" s="12">
        <v>4.9444444444444446</v>
      </c>
      <c r="Y265" s="12">
        <v>1.1111111111111109</v>
      </c>
      <c r="Z265" s="12">
        <v>0</v>
      </c>
      <c r="AA265" s="12">
        <v>0</v>
      </c>
      <c r="AB265" s="11">
        <v>0</v>
      </c>
      <c r="AC265" s="12">
        <v>0</v>
      </c>
      <c r="AD265" s="11">
        <v>6</v>
      </c>
      <c r="AE265" s="13" t="b">
        <v>1</v>
      </c>
      <c r="AF265" s="10" t="s">
        <v>60</v>
      </c>
      <c r="AG265" s="10" t="s">
        <v>61</v>
      </c>
      <c r="AH265" s="12"/>
    </row>
    <row r="266" spans="1:34" ht="32.1" customHeight="1" x14ac:dyDescent="0.25">
      <c r="A266" s="10" t="s">
        <v>56</v>
      </c>
      <c r="B266" s="10" t="s">
        <v>136</v>
      </c>
      <c r="C266" s="10" t="s">
        <v>121</v>
      </c>
      <c r="D266" s="10" t="s">
        <v>3</v>
      </c>
      <c r="E266" s="10" t="s">
        <v>83</v>
      </c>
      <c r="F266" s="10" t="s">
        <v>62</v>
      </c>
      <c r="G266" s="11">
        <v>1</v>
      </c>
      <c r="H266" s="11">
        <v>4</v>
      </c>
      <c r="I266" s="11">
        <v>4</v>
      </c>
      <c r="J266" s="11">
        <v>0</v>
      </c>
      <c r="K266" s="11">
        <v>0</v>
      </c>
      <c r="L266" s="12">
        <v>117.1049293974018</v>
      </c>
      <c r="M266" s="12">
        <v>110.2369465022088</v>
      </c>
      <c r="N266" s="12">
        <v>147.33245913720151</v>
      </c>
      <c r="O266" s="12">
        <v>151.63328737106849</v>
      </c>
      <c r="P266" s="12">
        <v>95.237330155654433</v>
      </c>
      <c r="Q266" s="12">
        <v>152.70849442953531</v>
      </c>
      <c r="R266" s="12">
        <v>25.351480775203399</v>
      </c>
      <c r="S266" s="12">
        <v>0.2164851719364588</v>
      </c>
      <c r="T266" s="12">
        <v>18</v>
      </c>
      <c r="U266" s="12">
        <v>0.5</v>
      </c>
      <c r="V266" s="12">
        <v>0.22222222222222221</v>
      </c>
      <c r="W266" s="12">
        <v>0.22222222222222221</v>
      </c>
      <c r="X266" s="12">
        <v>0.22222222222222221</v>
      </c>
      <c r="Y266" s="12">
        <v>0</v>
      </c>
      <c r="Z266" s="12"/>
      <c r="AA266" s="12"/>
      <c r="AB266" s="11">
        <v>0</v>
      </c>
      <c r="AC266" s="12">
        <v>0</v>
      </c>
      <c r="AD266" s="11">
        <v>0</v>
      </c>
      <c r="AE266" s="13" t="b">
        <v>0</v>
      </c>
      <c r="AF266" s="10" t="s">
        <v>60</v>
      </c>
      <c r="AG266" s="10" t="s">
        <v>61</v>
      </c>
      <c r="AH266" s="10" t="s">
        <v>71</v>
      </c>
    </row>
    <row r="267" spans="1:34" ht="32.1" customHeight="1" x14ac:dyDescent="0.25">
      <c r="A267" s="10" t="s">
        <v>56</v>
      </c>
      <c r="B267" s="10" t="s">
        <v>136</v>
      </c>
      <c r="C267" s="10" t="s">
        <v>121</v>
      </c>
      <c r="D267" s="10" t="s">
        <v>3</v>
      </c>
      <c r="E267" s="10" t="s">
        <v>83</v>
      </c>
      <c r="F267" s="10" t="s">
        <v>63</v>
      </c>
      <c r="G267" s="11">
        <v>1</v>
      </c>
      <c r="H267" s="11">
        <v>67</v>
      </c>
      <c r="I267" s="11">
        <v>66</v>
      </c>
      <c r="J267" s="11">
        <v>1</v>
      </c>
      <c r="K267" s="11">
        <v>0</v>
      </c>
      <c r="L267" s="12">
        <v>36.073681853870482</v>
      </c>
      <c r="M267" s="12">
        <v>32.364551891355283</v>
      </c>
      <c r="N267" s="12">
        <v>68.553513912245791</v>
      </c>
      <c r="O267" s="12">
        <v>73.331260222491821</v>
      </c>
      <c r="P267" s="12">
        <v>16.21058668775704</v>
      </c>
      <c r="Q267" s="12">
        <v>77.007326464396016</v>
      </c>
      <c r="R267" s="12">
        <v>14.41973677671856</v>
      </c>
      <c r="S267" s="12">
        <v>0.39973010892347849</v>
      </c>
      <c r="T267" s="12">
        <v>18</v>
      </c>
      <c r="U267" s="12">
        <v>3.5</v>
      </c>
      <c r="V267" s="12">
        <v>3.7222222222222219</v>
      </c>
      <c r="W267" s="12">
        <v>3.7222222222222219</v>
      </c>
      <c r="X267" s="12">
        <v>3.666666666666667</v>
      </c>
      <c r="Y267" s="12">
        <v>1.4925373134328359</v>
      </c>
      <c r="Z267" s="12"/>
      <c r="AA267" s="12"/>
      <c r="AB267" s="11">
        <v>0</v>
      </c>
      <c r="AC267" s="12">
        <v>0</v>
      </c>
      <c r="AD267" s="11">
        <v>4</v>
      </c>
      <c r="AE267" s="13" t="b">
        <v>1</v>
      </c>
      <c r="AF267" s="10" t="s">
        <v>60</v>
      </c>
      <c r="AG267" s="10" t="s">
        <v>61</v>
      </c>
      <c r="AH267" s="12"/>
    </row>
    <row r="268" spans="1:34" ht="32.1" customHeight="1" x14ac:dyDescent="0.25">
      <c r="A268" s="10" t="s">
        <v>56</v>
      </c>
      <c r="B268" s="10" t="s">
        <v>136</v>
      </c>
      <c r="C268" s="10" t="s">
        <v>121</v>
      </c>
      <c r="D268" s="10" t="s">
        <v>3</v>
      </c>
      <c r="E268" s="10" t="s">
        <v>83</v>
      </c>
      <c r="F268" s="10" t="s">
        <v>64</v>
      </c>
      <c r="G268" s="11">
        <v>1</v>
      </c>
      <c r="H268" s="11">
        <v>19</v>
      </c>
      <c r="I268" s="11">
        <v>19</v>
      </c>
      <c r="J268" s="11">
        <v>0</v>
      </c>
      <c r="K268" s="11">
        <v>0</v>
      </c>
      <c r="L268" s="12">
        <v>52.351243227304039</v>
      </c>
      <c r="M268" s="12">
        <v>48.065959562208022</v>
      </c>
      <c r="N268" s="12">
        <v>85.875697515835881</v>
      </c>
      <c r="O268" s="12">
        <v>109.7757748043349</v>
      </c>
      <c r="P268" s="12">
        <v>23.191718717792408</v>
      </c>
      <c r="Q268" s="12">
        <v>115.7507941264596</v>
      </c>
      <c r="R268" s="12">
        <v>22.6746605329433</v>
      </c>
      <c r="S268" s="12">
        <v>0.43312554077258708</v>
      </c>
      <c r="T268" s="12">
        <v>18</v>
      </c>
      <c r="U268" s="12">
        <v>1</v>
      </c>
      <c r="V268" s="12">
        <v>1.055555555555556</v>
      </c>
      <c r="W268" s="12">
        <v>1.055555555555556</v>
      </c>
      <c r="X268" s="12">
        <v>1.055555555555556</v>
      </c>
      <c r="Y268" s="12">
        <v>0</v>
      </c>
      <c r="Z268" s="12"/>
      <c r="AA268" s="12"/>
      <c r="AB268" s="11">
        <v>0</v>
      </c>
      <c r="AC268" s="12">
        <v>0</v>
      </c>
      <c r="AD268" s="11">
        <v>2</v>
      </c>
      <c r="AE268" s="13" t="b">
        <v>0</v>
      </c>
      <c r="AF268" s="10" t="s">
        <v>60</v>
      </c>
      <c r="AG268" s="10" t="s">
        <v>61</v>
      </c>
      <c r="AH268" s="10" t="s">
        <v>71</v>
      </c>
    </row>
    <row r="269" spans="1:34" ht="32.1" customHeight="1" x14ac:dyDescent="0.25">
      <c r="A269" s="10" t="s">
        <v>56</v>
      </c>
      <c r="B269" s="10" t="s">
        <v>137</v>
      </c>
      <c r="C269" s="10" t="s">
        <v>121</v>
      </c>
      <c r="D269" s="10" t="s">
        <v>3</v>
      </c>
      <c r="E269" s="10" t="s">
        <v>83</v>
      </c>
      <c r="F269" s="10" t="s">
        <v>5</v>
      </c>
      <c r="G269" s="11">
        <v>2</v>
      </c>
      <c r="H269" s="11">
        <v>90</v>
      </c>
      <c r="I269" s="11">
        <v>88</v>
      </c>
      <c r="J269" s="11">
        <v>2</v>
      </c>
      <c r="K269" s="11">
        <v>0</v>
      </c>
      <c r="L269" s="12">
        <v>47.715659018975472</v>
      </c>
      <c r="M269" s="12">
        <v>40.578373748352057</v>
      </c>
      <c r="N269" s="12">
        <v>104.9475186175972</v>
      </c>
      <c r="O269" s="12">
        <v>144.06343778345621</v>
      </c>
      <c r="P269" s="12">
        <v>14.8074067708624</v>
      </c>
      <c r="Q269" s="12">
        <v>161.66738546965991</v>
      </c>
      <c r="R269" s="12">
        <v>27.91623419294098</v>
      </c>
      <c r="S269" s="12">
        <v>0.58505393757297386</v>
      </c>
      <c r="T269" s="12">
        <v>18</v>
      </c>
      <c r="U269" s="12">
        <v>5</v>
      </c>
      <c r="V269" s="12">
        <v>5</v>
      </c>
      <c r="W269" s="12">
        <v>5</v>
      </c>
      <c r="X269" s="12">
        <v>4.8888888888888893</v>
      </c>
      <c r="Y269" s="12">
        <v>2.2222222222222219</v>
      </c>
      <c r="Z269" s="12">
        <v>0</v>
      </c>
      <c r="AA269" s="12">
        <v>0</v>
      </c>
      <c r="AB269" s="11">
        <v>0</v>
      </c>
      <c r="AC269" s="12">
        <v>0</v>
      </c>
      <c r="AD269" s="11">
        <v>4</v>
      </c>
      <c r="AE269" s="13" t="b">
        <v>1</v>
      </c>
      <c r="AF269" s="10" t="s">
        <v>60</v>
      </c>
      <c r="AG269" s="10" t="s">
        <v>61</v>
      </c>
      <c r="AH269" s="12"/>
    </row>
    <row r="270" spans="1:34" ht="32.1" customHeight="1" x14ac:dyDescent="0.25">
      <c r="A270" s="10" t="s">
        <v>56</v>
      </c>
      <c r="B270" s="10" t="s">
        <v>137</v>
      </c>
      <c r="C270" s="10" t="s">
        <v>121</v>
      </c>
      <c r="D270" s="10" t="s">
        <v>3</v>
      </c>
      <c r="E270" s="10" t="s">
        <v>83</v>
      </c>
      <c r="F270" s="10" t="s">
        <v>62</v>
      </c>
      <c r="G270" s="11">
        <v>2</v>
      </c>
      <c r="H270" s="11">
        <v>9</v>
      </c>
      <c r="I270" s="11">
        <v>9</v>
      </c>
      <c r="J270" s="11">
        <v>0</v>
      </c>
      <c r="K270" s="11">
        <v>0</v>
      </c>
      <c r="L270" s="12">
        <v>102.04416180178259</v>
      </c>
      <c r="M270" s="12">
        <v>96.853506789854364</v>
      </c>
      <c r="N270" s="12">
        <v>153.7554988691189</v>
      </c>
      <c r="O270" s="12">
        <v>160.0850081495517</v>
      </c>
      <c r="P270" s="12">
        <v>45.488065522099873</v>
      </c>
      <c r="Q270" s="12">
        <v>161.66738546965991</v>
      </c>
      <c r="R270" s="12">
        <v>33.861837381020237</v>
      </c>
      <c r="S270" s="12">
        <v>0.33183512690119121</v>
      </c>
      <c r="T270" s="12">
        <v>18</v>
      </c>
      <c r="U270" s="12">
        <v>0.5</v>
      </c>
      <c r="V270" s="12">
        <v>0.5</v>
      </c>
      <c r="W270" s="12">
        <v>0.5</v>
      </c>
      <c r="X270" s="12">
        <v>0.5</v>
      </c>
      <c r="Y270" s="12">
        <v>0</v>
      </c>
      <c r="Z270" s="12"/>
      <c r="AA270" s="12"/>
      <c r="AB270" s="11">
        <v>0</v>
      </c>
      <c r="AC270" s="12">
        <v>0</v>
      </c>
      <c r="AD270" s="11">
        <v>0</v>
      </c>
      <c r="AE270" s="13" t="b">
        <v>0</v>
      </c>
      <c r="AF270" s="10" t="s">
        <v>60</v>
      </c>
      <c r="AG270" s="10" t="s">
        <v>61</v>
      </c>
      <c r="AH270" s="10" t="s">
        <v>71</v>
      </c>
    </row>
    <row r="271" spans="1:34" ht="32.1" customHeight="1" x14ac:dyDescent="0.25">
      <c r="A271" s="10" t="s">
        <v>56</v>
      </c>
      <c r="B271" s="10" t="s">
        <v>137</v>
      </c>
      <c r="C271" s="10" t="s">
        <v>121</v>
      </c>
      <c r="D271" s="10" t="s">
        <v>3</v>
      </c>
      <c r="E271" s="10" t="s">
        <v>83</v>
      </c>
      <c r="F271" s="10" t="s">
        <v>63</v>
      </c>
      <c r="G271" s="11">
        <v>2</v>
      </c>
      <c r="H271" s="11">
        <v>61</v>
      </c>
      <c r="I271" s="11">
        <v>59</v>
      </c>
      <c r="J271" s="11">
        <v>2</v>
      </c>
      <c r="K271" s="11">
        <v>0</v>
      </c>
      <c r="L271" s="12">
        <v>37.079164584934567</v>
      </c>
      <c r="M271" s="12">
        <v>35.166383930194378</v>
      </c>
      <c r="N271" s="12">
        <v>62.876916235141593</v>
      </c>
      <c r="O271" s="12">
        <v>92.182110367658041</v>
      </c>
      <c r="P271" s="12">
        <v>14.8074067708624</v>
      </c>
      <c r="Q271" s="12">
        <v>127.5580784444318</v>
      </c>
      <c r="R271" s="12">
        <v>17.466618127343409</v>
      </c>
      <c r="S271" s="12">
        <v>0.47106288188704692</v>
      </c>
      <c r="T271" s="12">
        <v>18</v>
      </c>
      <c r="U271" s="12">
        <v>3.5</v>
      </c>
      <c r="V271" s="12">
        <v>3.3888888888888888</v>
      </c>
      <c r="W271" s="12">
        <v>3.3888888888888888</v>
      </c>
      <c r="X271" s="12">
        <v>3.2777777777777781</v>
      </c>
      <c r="Y271" s="12">
        <v>3.278688524590164</v>
      </c>
      <c r="Z271" s="12"/>
      <c r="AA271" s="12"/>
      <c r="AB271" s="11">
        <v>0</v>
      </c>
      <c r="AC271" s="12">
        <v>0</v>
      </c>
      <c r="AD271" s="11">
        <v>4</v>
      </c>
      <c r="AE271" s="13" t="b">
        <v>1</v>
      </c>
      <c r="AF271" s="10" t="s">
        <v>60</v>
      </c>
      <c r="AG271" s="10" t="s">
        <v>61</v>
      </c>
      <c r="AH271" s="12"/>
    </row>
    <row r="272" spans="1:34" ht="32.1" customHeight="1" x14ac:dyDescent="0.25">
      <c r="A272" s="10" t="s">
        <v>56</v>
      </c>
      <c r="B272" s="10" t="s">
        <v>137</v>
      </c>
      <c r="C272" s="10" t="s">
        <v>121</v>
      </c>
      <c r="D272" s="10" t="s">
        <v>3</v>
      </c>
      <c r="E272" s="10" t="s">
        <v>83</v>
      </c>
      <c r="F272" s="10" t="s">
        <v>64</v>
      </c>
      <c r="G272" s="11">
        <v>2</v>
      </c>
      <c r="H272" s="11">
        <v>20</v>
      </c>
      <c r="I272" s="11">
        <v>20</v>
      </c>
      <c r="J272" s="11">
        <v>0</v>
      </c>
      <c r="K272" s="11">
        <v>0</v>
      </c>
      <c r="L272" s="12">
        <v>55.709140790537063</v>
      </c>
      <c r="M272" s="12">
        <v>51.017752593689139</v>
      </c>
      <c r="N272" s="12">
        <v>77.181878484309351</v>
      </c>
      <c r="O272" s="12">
        <v>105.74293087983961</v>
      </c>
      <c r="P272" s="12">
        <v>29.663354885620091</v>
      </c>
      <c r="Q272" s="12">
        <v>112.8831939787222</v>
      </c>
      <c r="R272" s="12">
        <v>19.382237849589369</v>
      </c>
      <c r="S272" s="12">
        <v>0.34791844883168072</v>
      </c>
      <c r="T272" s="12">
        <v>18</v>
      </c>
      <c r="U272" s="12">
        <v>1</v>
      </c>
      <c r="V272" s="12">
        <v>1.1111111111111109</v>
      </c>
      <c r="W272" s="12">
        <v>1.1111111111111109</v>
      </c>
      <c r="X272" s="12">
        <v>1.1111111111111109</v>
      </c>
      <c r="Y272" s="12">
        <v>0</v>
      </c>
      <c r="Z272" s="12"/>
      <c r="AA272" s="12"/>
      <c r="AB272" s="11">
        <v>0</v>
      </c>
      <c r="AC272" s="12">
        <v>0</v>
      </c>
      <c r="AD272" s="11">
        <v>0</v>
      </c>
      <c r="AE272" s="13" t="b">
        <v>0</v>
      </c>
      <c r="AF272" s="10" t="s">
        <v>60</v>
      </c>
      <c r="AG272" s="10" t="s">
        <v>61</v>
      </c>
      <c r="AH272" s="10" t="s">
        <v>71</v>
      </c>
    </row>
    <row r="273" spans="1:34" ht="32.1" customHeight="1" x14ac:dyDescent="0.25">
      <c r="A273" s="10" t="s">
        <v>56</v>
      </c>
      <c r="B273" s="10" t="s">
        <v>138</v>
      </c>
      <c r="C273" s="10" t="s">
        <v>121</v>
      </c>
      <c r="D273" s="10" t="s">
        <v>3</v>
      </c>
      <c r="E273" s="10" t="s">
        <v>83</v>
      </c>
      <c r="F273" s="10" t="s">
        <v>5</v>
      </c>
      <c r="G273" s="11">
        <v>3</v>
      </c>
      <c r="H273" s="11">
        <v>90</v>
      </c>
      <c r="I273" s="11">
        <v>89</v>
      </c>
      <c r="J273" s="11">
        <v>1</v>
      </c>
      <c r="K273" s="11">
        <v>0</v>
      </c>
      <c r="L273" s="12">
        <v>42.648880996539418</v>
      </c>
      <c r="M273" s="12">
        <v>41.026205086827659</v>
      </c>
      <c r="N273" s="12">
        <v>73.600816149087464</v>
      </c>
      <c r="O273" s="12">
        <v>91.704791902214325</v>
      </c>
      <c r="P273" s="12">
        <v>13.95460390894806</v>
      </c>
      <c r="Q273" s="12">
        <v>126.2426378734165</v>
      </c>
      <c r="R273" s="12">
        <v>17.47227297656735</v>
      </c>
      <c r="S273" s="12">
        <v>0.40967717249099861</v>
      </c>
      <c r="T273" s="12">
        <v>18</v>
      </c>
      <c r="U273" s="12">
        <v>5</v>
      </c>
      <c r="V273" s="12">
        <v>5</v>
      </c>
      <c r="W273" s="12">
        <v>5</v>
      </c>
      <c r="X273" s="12">
        <v>4.9444444444444446</v>
      </c>
      <c r="Y273" s="12">
        <v>1.1111111111111109</v>
      </c>
      <c r="Z273" s="12">
        <v>0</v>
      </c>
      <c r="AA273" s="12">
        <v>0</v>
      </c>
      <c r="AB273" s="11">
        <v>0</v>
      </c>
      <c r="AC273" s="12">
        <v>0</v>
      </c>
      <c r="AD273" s="11">
        <v>5</v>
      </c>
      <c r="AE273" s="13" t="b">
        <v>1</v>
      </c>
      <c r="AF273" s="10" t="s">
        <v>60</v>
      </c>
      <c r="AG273" s="10" t="s">
        <v>61</v>
      </c>
      <c r="AH273" s="12"/>
    </row>
    <row r="274" spans="1:34" ht="32.1" customHeight="1" x14ac:dyDescent="0.25">
      <c r="A274" s="10" t="s">
        <v>56</v>
      </c>
      <c r="B274" s="10" t="s">
        <v>138</v>
      </c>
      <c r="C274" s="10" t="s">
        <v>121</v>
      </c>
      <c r="D274" s="10" t="s">
        <v>3</v>
      </c>
      <c r="E274" s="10" t="s">
        <v>83</v>
      </c>
      <c r="F274" s="10" t="s">
        <v>62</v>
      </c>
      <c r="G274" s="11">
        <v>3</v>
      </c>
      <c r="H274" s="11">
        <v>3</v>
      </c>
      <c r="I274" s="11">
        <v>3</v>
      </c>
      <c r="J274" s="11">
        <v>0</v>
      </c>
      <c r="K274" s="11">
        <v>0</v>
      </c>
      <c r="L274" s="12">
        <v>90.185050984220524</v>
      </c>
      <c r="M274" s="12">
        <v>79.661701615677572</v>
      </c>
      <c r="N274" s="12">
        <v>121.5845442476426</v>
      </c>
      <c r="O274" s="12">
        <v>125.31101914826181</v>
      </c>
      <c r="P274" s="12">
        <v>64.650813463567431</v>
      </c>
      <c r="Q274" s="12">
        <v>126.2426378734165</v>
      </c>
      <c r="R274" s="12">
        <v>32.116099856345123</v>
      </c>
      <c r="S274" s="12">
        <v>0.35611334146680701</v>
      </c>
      <c r="T274" s="12">
        <v>18</v>
      </c>
      <c r="U274" s="12">
        <v>0.5</v>
      </c>
      <c r="V274" s="12">
        <v>0.1666666666666666</v>
      </c>
      <c r="W274" s="12">
        <v>0.1666666666666666</v>
      </c>
      <c r="X274" s="12">
        <v>0.1666666666666666</v>
      </c>
      <c r="Y274" s="12">
        <v>0</v>
      </c>
      <c r="Z274" s="12"/>
      <c r="AA274" s="12"/>
      <c r="AB274" s="11">
        <v>0</v>
      </c>
      <c r="AC274" s="12">
        <v>0</v>
      </c>
      <c r="AD274" s="11">
        <v>0</v>
      </c>
      <c r="AE274" s="13" t="b">
        <v>0</v>
      </c>
      <c r="AF274" s="10" t="s">
        <v>60</v>
      </c>
      <c r="AG274" s="10" t="s">
        <v>61</v>
      </c>
      <c r="AH274" s="10" t="s">
        <v>71</v>
      </c>
    </row>
    <row r="275" spans="1:34" ht="32.1" customHeight="1" x14ac:dyDescent="0.25">
      <c r="A275" s="10" t="s">
        <v>56</v>
      </c>
      <c r="B275" s="10" t="s">
        <v>138</v>
      </c>
      <c r="C275" s="10" t="s">
        <v>121</v>
      </c>
      <c r="D275" s="10" t="s">
        <v>3</v>
      </c>
      <c r="E275" s="10" t="s">
        <v>83</v>
      </c>
      <c r="F275" s="10" t="s">
        <v>63</v>
      </c>
      <c r="G275" s="11">
        <v>3</v>
      </c>
      <c r="H275" s="11">
        <v>65</v>
      </c>
      <c r="I275" s="11">
        <v>64</v>
      </c>
      <c r="J275" s="11">
        <v>1</v>
      </c>
      <c r="K275" s="11">
        <v>0</v>
      </c>
      <c r="L275" s="12">
        <v>39.087881821582222</v>
      </c>
      <c r="M275" s="12">
        <v>38.488350061043313</v>
      </c>
      <c r="N275" s="12">
        <v>57.954406275110287</v>
      </c>
      <c r="O275" s="12">
        <v>80.105555064108088</v>
      </c>
      <c r="P275" s="12">
        <v>13.95460390894806</v>
      </c>
      <c r="Q275" s="12">
        <v>87.436069366447768</v>
      </c>
      <c r="R275" s="12">
        <v>14.50885197701966</v>
      </c>
      <c r="S275" s="12">
        <v>0.37118542373940178</v>
      </c>
      <c r="T275" s="12">
        <v>18</v>
      </c>
      <c r="U275" s="12">
        <v>3.5</v>
      </c>
      <c r="V275" s="12">
        <v>3.6111111111111112</v>
      </c>
      <c r="W275" s="12">
        <v>3.6111111111111112</v>
      </c>
      <c r="X275" s="12">
        <v>3.5555555555555558</v>
      </c>
      <c r="Y275" s="12">
        <v>1.5384615384615381</v>
      </c>
      <c r="Z275" s="12"/>
      <c r="AA275" s="12"/>
      <c r="AB275" s="11">
        <v>0</v>
      </c>
      <c r="AC275" s="12">
        <v>0</v>
      </c>
      <c r="AD275" s="11">
        <v>4</v>
      </c>
      <c r="AE275" s="13" t="b">
        <v>1</v>
      </c>
      <c r="AF275" s="10" t="s">
        <v>60</v>
      </c>
      <c r="AG275" s="10" t="s">
        <v>61</v>
      </c>
      <c r="AH275" s="12"/>
    </row>
    <row r="276" spans="1:34" ht="32.1" customHeight="1" x14ac:dyDescent="0.25">
      <c r="A276" s="10" t="s">
        <v>56</v>
      </c>
      <c r="B276" s="10" t="s">
        <v>138</v>
      </c>
      <c r="C276" s="10" t="s">
        <v>121</v>
      </c>
      <c r="D276" s="10" t="s">
        <v>3</v>
      </c>
      <c r="E276" s="10" t="s">
        <v>83</v>
      </c>
      <c r="F276" s="10" t="s">
        <v>64</v>
      </c>
      <c r="G276" s="11">
        <v>3</v>
      </c>
      <c r="H276" s="11">
        <v>22</v>
      </c>
      <c r="I276" s="11">
        <v>22</v>
      </c>
      <c r="J276" s="11">
        <v>0</v>
      </c>
      <c r="K276" s="11">
        <v>0</v>
      </c>
      <c r="L276" s="12">
        <v>46.687809924229171</v>
      </c>
      <c r="M276" s="12">
        <v>45.457788596938322</v>
      </c>
      <c r="N276" s="12">
        <v>65.158040278103343</v>
      </c>
      <c r="O276" s="12">
        <v>73.902926020609797</v>
      </c>
      <c r="P276" s="12">
        <v>21.637638383200009</v>
      </c>
      <c r="Q276" s="12">
        <v>76.215989545556837</v>
      </c>
      <c r="R276" s="12">
        <v>13.22413564400104</v>
      </c>
      <c r="S276" s="12">
        <v>0.2832460050163591</v>
      </c>
      <c r="T276" s="12">
        <v>18</v>
      </c>
      <c r="U276" s="12">
        <v>1</v>
      </c>
      <c r="V276" s="12">
        <v>1.2222222222222221</v>
      </c>
      <c r="W276" s="12">
        <v>1.2222222222222221</v>
      </c>
      <c r="X276" s="12">
        <v>1.2222222222222221</v>
      </c>
      <c r="Y276" s="12">
        <v>0</v>
      </c>
      <c r="Z276" s="12"/>
      <c r="AA276" s="12"/>
      <c r="AB276" s="11">
        <v>0</v>
      </c>
      <c r="AC276" s="12">
        <v>0</v>
      </c>
      <c r="AD276" s="11">
        <v>1</v>
      </c>
      <c r="AE276" s="13" t="b">
        <v>0</v>
      </c>
      <c r="AF276" s="10" t="s">
        <v>60</v>
      </c>
      <c r="AG276" s="10" t="s">
        <v>61</v>
      </c>
      <c r="AH276" s="10" t="s">
        <v>71</v>
      </c>
    </row>
    <row r="277" spans="1:34" ht="32.1" customHeight="1" x14ac:dyDescent="0.25">
      <c r="A277" s="10" t="s">
        <v>56</v>
      </c>
      <c r="B277" s="10" t="s">
        <v>139</v>
      </c>
      <c r="C277" s="10" t="s">
        <v>121</v>
      </c>
      <c r="D277" s="10" t="s">
        <v>3</v>
      </c>
      <c r="E277" s="10" t="s">
        <v>83</v>
      </c>
      <c r="F277" s="10" t="s">
        <v>5</v>
      </c>
      <c r="G277" s="11">
        <v>4</v>
      </c>
      <c r="H277" s="11">
        <v>90</v>
      </c>
      <c r="I277" s="11">
        <v>90</v>
      </c>
      <c r="J277" s="11">
        <v>0</v>
      </c>
      <c r="K277" s="11">
        <v>0</v>
      </c>
      <c r="L277" s="12">
        <v>55.703017971195891</v>
      </c>
      <c r="M277" s="12">
        <v>42.161314183634403</v>
      </c>
      <c r="N277" s="12">
        <v>132.30726576905431</v>
      </c>
      <c r="O277" s="12">
        <v>242.46170863297459</v>
      </c>
      <c r="P277" s="12">
        <v>14.928852076059121</v>
      </c>
      <c r="Q277" s="12">
        <v>264.82491601294367</v>
      </c>
      <c r="R277" s="12">
        <v>43.043707664743302</v>
      </c>
      <c r="S277" s="12">
        <v>0.77273564759096658</v>
      </c>
      <c r="T277" s="12">
        <v>18</v>
      </c>
      <c r="U277" s="12">
        <v>5</v>
      </c>
      <c r="V277" s="12">
        <v>5</v>
      </c>
      <c r="W277" s="12">
        <v>5</v>
      </c>
      <c r="X277" s="12">
        <v>5</v>
      </c>
      <c r="Y277" s="12">
        <v>0</v>
      </c>
      <c r="Z277" s="12">
        <v>0</v>
      </c>
      <c r="AA277" s="12">
        <v>0</v>
      </c>
      <c r="AB277" s="11">
        <v>0</v>
      </c>
      <c r="AC277" s="12">
        <v>0</v>
      </c>
      <c r="AD277" s="11">
        <v>5</v>
      </c>
      <c r="AE277" s="13" t="b">
        <v>1</v>
      </c>
      <c r="AF277" s="10" t="s">
        <v>60</v>
      </c>
      <c r="AG277" s="10" t="s">
        <v>61</v>
      </c>
      <c r="AH277" s="12"/>
    </row>
    <row r="278" spans="1:34" ht="32.1" customHeight="1" x14ac:dyDescent="0.25">
      <c r="A278" s="10" t="s">
        <v>56</v>
      </c>
      <c r="B278" s="10" t="s">
        <v>139</v>
      </c>
      <c r="C278" s="10" t="s">
        <v>121</v>
      </c>
      <c r="D278" s="10" t="s">
        <v>3</v>
      </c>
      <c r="E278" s="10" t="s">
        <v>83</v>
      </c>
      <c r="F278" s="10" t="s">
        <v>62</v>
      </c>
      <c r="G278" s="11">
        <v>4</v>
      </c>
      <c r="H278" s="11">
        <v>12</v>
      </c>
      <c r="I278" s="11">
        <v>12</v>
      </c>
      <c r="J278" s="11">
        <v>0</v>
      </c>
      <c r="K278" s="11">
        <v>0</v>
      </c>
      <c r="L278" s="12">
        <v>138.26000157103081</v>
      </c>
      <c r="M278" s="12">
        <v>124.10779422420229</v>
      </c>
      <c r="N278" s="12">
        <v>251.00495639610881</v>
      </c>
      <c r="O278" s="12">
        <v>262.0609240895767</v>
      </c>
      <c r="P278" s="12">
        <v>81.940705477949464</v>
      </c>
      <c r="Q278" s="12">
        <v>264.82491601294367</v>
      </c>
      <c r="R278" s="12">
        <v>60.182697836733063</v>
      </c>
      <c r="S278" s="12">
        <v>0.43528639630323118</v>
      </c>
      <c r="T278" s="12">
        <v>18</v>
      </c>
      <c r="U278" s="12">
        <v>0.5</v>
      </c>
      <c r="V278" s="12">
        <v>0.66666666666666663</v>
      </c>
      <c r="W278" s="12">
        <v>0.66666666666666663</v>
      </c>
      <c r="X278" s="12">
        <v>0.66666666666666663</v>
      </c>
      <c r="Y278" s="12">
        <v>0</v>
      </c>
      <c r="Z278" s="12"/>
      <c r="AA278" s="12"/>
      <c r="AB278" s="11">
        <v>0</v>
      </c>
      <c r="AC278" s="12">
        <v>0</v>
      </c>
      <c r="AD278" s="11">
        <v>2</v>
      </c>
      <c r="AE278" s="13" t="b">
        <v>0</v>
      </c>
      <c r="AF278" s="10" t="s">
        <v>60</v>
      </c>
      <c r="AG278" s="10" t="s">
        <v>61</v>
      </c>
      <c r="AH278" s="10" t="s">
        <v>71</v>
      </c>
    </row>
    <row r="279" spans="1:34" ht="32.1" customHeight="1" x14ac:dyDescent="0.25">
      <c r="A279" s="10" t="s">
        <v>56</v>
      </c>
      <c r="B279" s="10" t="s">
        <v>139</v>
      </c>
      <c r="C279" s="10" t="s">
        <v>121</v>
      </c>
      <c r="D279" s="10" t="s">
        <v>3</v>
      </c>
      <c r="E279" s="10" t="s">
        <v>83</v>
      </c>
      <c r="F279" s="10" t="s">
        <v>63</v>
      </c>
      <c r="G279" s="11">
        <v>4</v>
      </c>
      <c r="H279" s="11">
        <v>67</v>
      </c>
      <c r="I279" s="11">
        <v>67</v>
      </c>
      <c r="J279" s="11">
        <v>0</v>
      </c>
      <c r="K279" s="11">
        <v>0</v>
      </c>
      <c r="L279" s="12">
        <v>39.734564052799627</v>
      </c>
      <c r="M279" s="12">
        <v>37.067137403463391</v>
      </c>
      <c r="N279" s="12">
        <v>68.699888508312398</v>
      </c>
      <c r="O279" s="12">
        <v>87.074331870605548</v>
      </c>
      <c r="P279" s="12">
        <v>14.928852076059121</v>
      </c>
      <c r="Q279" s="12">
        <v>99.906853873175237</v>
      </c>
      <c r="R279" s="12">
        <v>16.601677008488359</v>
      </c>
      <c r="S279" s="12">
        <v>0.41781449990058789</v>
      </c>
      <c r="T279" s="12">
        <v>18</v>
      </c>
      <c r="U279" s="12">
        <v>3.5</v>
      </c>
      <c r="V279" s="12">
        <v>3.7222222222222219</v>
      </c>
      <c r="W279" s="12">
        <v>3.7222222222222219</v>
      </c>
      <c r="X279" s="12">
        <v>3.7222222222222219</v>
      </c>
      <c r="Y279" s="12">
        <v>0</v>
      </c>
      <c r="Z279" s="12"/>
      <c r="AA279" s="12"/>
      <c r="AB279" s="11">
        <v>0</v>
      </c>
      <c r="AC279" s="12">
        <v>0</v>
      </c>
      <c r="AD279" s="11">
        <v>3</v>
      </c>
      <c r="AE279" s="13" t="b">
        <v>1</v>
      </c>
      <c r="AF279" s="10" t="s">
        <v>60</v>
      </c>
      <c r="AG279" s="10" t="s">
        <v>61</v>
      </c>
      <c r="AH279" s="12"/>
    </row>
    <row r="280" spans="1:34" ht="32.1" customHeight="1" x14ac:dyDescent="0.25">
      <c r="A280" s="10" t="s">
        <v>56</v>
      </c>
      <c r="B280" s="10" t="s">
        <v>139</v>
      </c>
      <c r="C280" s="10" t="s">
        <v>121</v>
      </c>
      <c r="D280" s="10" t="s">
        <v>3</v>
      </c>
      <c r="E280" s="10" t="s">
        <v>83</v>
      </c>
      <c r="F280" s="10" t="s">
        <v>64</v>
      </c>
      <c r="G280" s="11">
        <v>4</v>
      </c>
      <c r="H280" s="11">
        <v>11</v>
      </c>
      <c r="I280" s="11">
        <v>11</v>
      </c>
      <c r="J280" s="11">
        <v>0</v>
      </c>
      <c r="K280" s="11">
        <v>0</v>
      </c>
      <c r="L280" s="12">
        <v>62.903255183425813</v>
      </c>
      <c r="M280" s="12">
        <v>61.668139789757433</v>
      </c>
      <c r="N280" s="12">
        <v>101.71967575397819</v>
      </c>
      <c r="O280" s="12">
        <v>118.4336824590802</v>
      </c>
      <c r="P280" s="12">
        <v>20.60037516866208</v>
      </c>
      <c r="Q280" s="12">
        <v>122.6121841353557</v>
      </c>
      <c r="R280" s="12">
        <v>27.241456254507039</v>
      </c>
      <c r="S280" s="12">
        <v>0.43306910230751949</v>
      </c>
      <c r="T280" s="12">
        <v>18</v>
      </c>
      <c r="U280" s="12">
        <v>1</v>
      </c>
      <c r="V280" s="12">
        <v>0.61111111111111116</v>
      </c>
      <c r="W280" s="12">
        <v>0.61111111111111116</v>
      </c>
      <c r="X280" s="12">
        <v>0.61111111111111116</v>
      </c>
      <c r="Y280" s="12">
        <v>0</v>
      </c>
      <c r="Z280" s="12"/>
      <c r="AA280" s="12"/>
      <c r="AB280" s="11">
        <v>0</v>
      </c>
      <c r="AC280" s="12">
        <v>0</v>
      </c>
      <c r="AD280" s="11">
        <v>0</v>
      </c>
      <c r="AE280" s="13" t="b">
        <v>0</v>
      </c>
      <c r="AF280" s="10" t="s">
        <v>60</v>
      </c>
      <c r="AG280" s="10" t="s">
        <v>61</v>
      </c>
      <c r="AH280" s="10" t="s">
        <v>71</v>
      </c>
    </row>
    <row r="281" spans="1:34" ht="32.1" customHeight="1" x14ac:dyDescent="0.25">
      <c r="A281" s="10" t="s">
        <v>56</v>
      </c>
      <c r="B281" s="10" t="s">
        <v>140</v>
      </c>
      <c r="C281" s="10" t="s">
        <v>121</v>
      </c>
      <c r="D281" s="10" t="s">
        <v>3</v>
      </c>
      <c r="E281" s="10" t="s">
        <v>83</v>
      </c>
      <c r="F281" s="10" t="s">
        <v>5</v>
      </c>
      <c r="G281" s="11">
        <v>5</v>
      </c>
      <c r="H281" s="11">
        <v>90</v>
      </c>
      <c r="I281" s="11">
        <v>88</v>
      </c>
      <c r="J281" s="11">
        <v>2</v>
      </c>
      <c r="K281" s="11">
        <v>0</v>
      </c>
      <c r="L281" s="12">
        <v>48.193292112711013</v>
      </c>
      <c r="M281" s="12">
        <v>41.887240314735713</v>
      </c>
      <c r="N281" s="12">
        <v>97.989080451527755</v>
      </c>
      <c r="O281" s="12">
        <v>113.77070523857979</v>
      </c>
      <c r="P281" s="12">
        <v>17.230722618952068</v>
      </c>
      <c r="Q281" s="12">
        <v>134.6450947540732</v>
      </c>
      <c r="R281" s="12">
        <v>23.526808434995608</v>
      </c>
      <c r="S281" s="12">
        <v>0.48817599719008198</v>
      </c>
      <c r="T281" s="12">
        <v>18</v>
      </c>
      <c r="U281" s="12">
        <v>5</v>
      </c>
      <c r="V281" s="12">
        <v>5</v>
      </c>
      <c r="W281" s="12">
        <v>5</v>
      </c>
      <c r="X281" s="12">
        <v>4.8888888888888893</v>
      </c>
      <c r="Y281" s="12">
        <v>2.2222222222222219</v>
      </c>
      <c r="Z281" s="12">
        <v>0</v>
      </c>
      <c r="AA281" s="12">
        <v>0</v>
      </c>
      <c r="AB281" s="11">
        <v>0</v>
      </c>
      <c r="AC281" s="12">
        <v>0</v>
      </c>
      <c r="AD281" s="11">
        <v>4</v>
      </c>
      <c r="AE281" s="13" t="b">
        <v>1</v>
      </c>
      <c r="AF281" s="10" t="s">
        <v>60</v>
      </c>
      <c r="AG281" s="10" t="s">
        <v>61</v>
      </c>
      <c r="AH281" s="12"/>
    </row>
    <row r="282" spans="1:34" ht="32.1" customHeight="1" x14ac:dyDescent="0.25">
      <c r="A282" s="10" t="s">
        <v>56</v>
      </c>
      <c r="B282" s="10" t="s">
        <v>140</v>
      </c>
      <c r="C282" s="10" t="s">
        <v>121</v>
      </c>
      <c r="D282" s="10" t="s">
        <v>3</v>
      </c>
      <c r="E282" s="10" t="s">
        <v>83</v>
      </c>
      <c r="F282" s="10" t="s">
        <v>62</v>
      </c>
      <c r="G282" s="11">
        <v>5</v>
      </c>
      <c r="H282" s="11">
        <v>6</v>
      </c>
      <c r="I282" s="11">
        <v>6</v>
      </c>
      <c r="J282" s="11">
        <v>0</v>
      </c>
      <c r="K282" s="11">
        <v>0</v>
      </c>
      <c r="L282" s="12">
        <v>92.058256406711919</v>
      </c>
      <c r="M282" s="12">
        <v>87.928628654579768</v>
      </c>
      <c r="N282" s="12">
        <v>128.78150219354129</v>
      </c>
      <c r="O282" s="12">
        <v>133.4723762419668</v>
      </c>
      <c r="P282" s="12">
        <v>56.25142800365343</v>
      </c>
      <c r="Q282" s="12">
        <v>134.6450947540732</v>
      </c>
      <c r="R282" s="12">
        <v>27.609643257244091</v>
      </c>
      <c r="S282" s="12">
        <v>0.29991490535368298</v>
      </c>
      <c r="T282" s="12">
        <v>18</v>
      </c>
      <c r="U282" s="12">
        <v>0.5</v>
      </c>
      <c r="V282" s="12">
        <v>0.33333333333333331</v>
      </c>
      <c r="W282" s="12">
        <v>0.33333333333333331</v>
      </c>
      <c r="X282" s="12">
        <v>0.33333333333333331</v>
      </c>
      <c r="Y282" s="12">
        <v>0</v>
      </c>
      <c r="Z282" s="12"/>
      <c r="AA282" s="12"/>
      <c r="AB282" s="11">
        <v>0</v>
      </c>
      <c r="AC282" s="12">
        <v>0</v>
      </c>
      <c r="AD282" s="11">
        <v>0</v>
      </c>
      <c r="AE282" s="13" t="b">
        <v>0</v>
      </c>
      <c r="AF282" s="10" t="s">
        <v>60</v>
      </c>
      <c r="AG282" s="10" t="s">
        <v>61</v>
      </c>
      <c r="AH282" s="10" t="s">
        <v>71</v>
      </c>
    </row>
    <row r="283" spans="1:34" ht="32.1" customHeight="1" x14ac:dyDescent="0.25">
      <c r="A283" s="10" t="s">
        <v>56</v>
      </c>
      <c r="B283" s="10" t="s">
        <v>140</v>
      </c>
      <c r="C283" s="10" t="s">
        <v>121</v>
      </c>
      <c r="D283" s="10" t="s">
        <v>3</v>
      </c>
      <c r="E283" s="10" t="s">
        <v>83</v>
      </c>
      <c r="F283" s="10" t="s">
        <v>63</v>
      </c>
      <c r="G283" s="11">
        <v>5</v>
      </c>
      <c r="H283" s="11">
        <v>60</v>
      </c>
      <c r="I283" s="11">
        <v>59</v>
      </c>
      <c r="J283" s="11">
        <v>1</v>
      </c>
      <c r="K283" s="11">
        <v>0</v>
      </c>
      <c r="L283" s="12">
        <v>41.124305965611548</v>
      </c>
      <c r="M283" s="12">
        <v>36.690901508700072</v>
      </c>
      <c r="N283" s="12">
        <v>79.542131011627077</v>
      </c>
      <c r="O283" s="12">
        <v>105.2171471588364</v>
      </c>
      <c r="P283" s="12">
        <v>17.230722618952068</v>
      </c>
      <c r="Q283" s="12">
        <v>105.41741447485779</v>
      </c>
      <c r="R283" s="12">
        <v>19.34538577913677</v>
      </c>
      <c r="S283" s="12">
        <v>0.47041245620810063</v>
      </c>
      <c r="T283" s="12">
        <v>18</v>
      </c>
      <c r="U283" s="12">
        <v>3.5</v>
      </c>
      <c r="V283" s="12">
        <v>3.333333333333333</v>
      </c>
      <c r="W283" s="12">
        <v>3.333333333333333</v>
      </c>
      <c r="X283" s="12">
        <v>3.2777777777777781</v>
      </c>
      <c r="Y283" s="12">
        <v>1.666666666666667</v>
      </c>
      <c r="Z283" s="12"/>
      <c r="AA283" s="12"/>
      <c r="AB283" s="11">
        <v>0</v>
      </c>
      <c r="AC283" s="12">
        <v>0</v>
      </c>
      <c r="AD283" s="11">
        <v>2</v>
      </c>
      <c r="AE283" s="13" t="b">
        <v>1</v>
      </c>
      <c r="AF283" s="10" t="s">
        <v>60</v>
      </c>
      <c r="AG283" s="10" t="s">
        <v>61</v>
      </c>
      <c r="AH283" s="12"/>
    </row>
    <row r="284" spans="1:34" ht="32.1" customHeight="1" x14ac:dyDescent="0.25">
      <c r="A284" s="10" t="s">
        <v>56</v>
      </c>
      <c r="B284" s="10" t="s">
        <v>140</v>
      </c>
      <c r="C284" s="10" t="s">
        <v>121</v>
      </c>
      <c r="D284" s="10" t="s">
        <v>3</v>
      </c>
      <c r="E284" s="10" t="s">
        <v>83</v>
      </c>
      <c r="F284" s="10" t="s">
        <v>64</v>
      </c>
      <c r="G284" s="11">
        <v>5</v>
      </c>
      <c r="H284" s="11">
        <v>24</v>
      </c>
      <c r="I284" s="11">
        <v>23</v>
      </c>
      <c r="J284" s="11">
        <v>1</v>
      </c>
      <c r="K284" s="11">
        <v>0</v>
      </c>
      <c r="L284" s="12">
        <v>54.899516406959428</v>
      </c>
      <c r="M284" s="12">
        <v>53.501892000294013</v>
      </c>
      <c r="N284" s="12">
        <v>80.966347714938934</v>
      </c>
      <c r="O284" s="12">
        <v>103.75230848779481</v>
      </c>
      <c r="P284" s="12">
        <v>20.821327740537281</v>
      </c>
      <c r="Q284" s="12">
        <v>110.0633695608288</v>
      </c>
      <c r="R284" s="12">
        <v>18.35423350141717</v>
      </c>
      <c r="S284" s="12">
        <v>0.33432413803722449</v>
      </c>
      <c r="T284" s="12">
        <v>18</v>
      </c>
      <c r="U284" s="12">
        <v>1</v>
      </c>
      <c r="V284" s="12">
        <v>1.333333333333333</v>
      </c>
      <c r="W284" s="12">
        <v>1.333333333333333</v>
      </c>
      <c r="X284" s="12">
        <v>1.2777777777777779</v>
      </c>
      <c r="Y284" s="12">
        <v>4.166666666666667</v>
      </c>
      <c r="Z284" s="12"/>
      <c r="AA284" s="12"/>
      <c r="AB284" s="11">
        <v>0</v>
      </c>
      <c r="AC284" s="12">
        <v>0</v>
      </c>
      <c r="AD284" s="11">
        <v>2</v>
      </c>
      <c r="AE284" s="13" t="b">
        <v>0</v>
      </c>
      <c r="AF284" s="10" t="s">
        <v>60</v>
      </c>
      <c r="AG284" s="10" t="s">
        <v>61</v>
      </c>
      <c r="AH284" s="10" t="s">
        <v>71</v>
      </c>
    </row>
    <row r="285" spans="1:34" ht="32.1" customHeight="1" x14ac:dyDescent="0.25">
      <c r="A285" s="10" t="s">
        <v>56</v>
      </c>
      <c r="B285" s="10" t="s">
        <v>141</v>
      </c>
      <c r="C285" s="10" t="s">
        <v>121</v>
      </c>
      <c r="D285" s="10" t="s">
        <v>3</v>
      </c>
      <c r="E285" s="10" t="s">
        <v>4</v>
      </c>
      <c r="F285" s="10" t="s">
        <v>5</v>
      </c>
      <c r="G285" s="11">
        <v>1</v>
      </c>
      <c r="H285" s="11">
        <v>360</v>
      </c>
      <c r="I285" s="11">
        <v>359</v>
      </c>
      <c r="J285" s="11">
        <v>1</v>
      </c>
      <c r="K285" s="11">
        <v>0</v>
      </c>
      <c r="L285" s="12">
        <v>50.119849261982978</v>
      </c>
      <c r="M285" s="12">
        <v>37.165820782984611</v>
      </c>
      <c r="N285" s="12">
        <v>114.90576664451321</v>
      </c>
      <c r="O285" s="12">
        <v>317.49774795610972</v>
      </c>
      <c r="P285" s="12">
        <v>13.74743332387636</v>
      </c>
      <c r="Q285" s="12">
        <v>1268.604828660895</v>
      </c>
      <c r="R285" s="12">
        <v>76.788226075487046</v>
      </c>
      <c r="S285" s="12">
        <v>1.532092119313947</v>
      </c>
      <c r="T285" s="12">
        <v>18</v>
      </c>
      <c r="U285" s="12">
        <v>20</v>
      </c>
      <c r="V285" s="12">
        <v>20</v>
      </c>
      <c r="W285" s="12">
        <v>20</v>
      </c>
      <c r="X285" s="12">
        <v>19.944444444444439</v>
      </c>
      <c r="Y285" s="12">
        <v>0.27777777777777779</v>
      </c>
      <c r="Z285" s="12">
        <v>0</v>
      </c>
      <c r="AA285" s="12">
        <v>0</v>
      </c>
      <c r="AB285" s="11">
        <v>0</v>
      </c>
      <c r="AC285" s="12">
        <v>0</v>
      </c>
      <c r="AD285" s="11">
        <v>18</v>
      </c>
      <c r="AE285" s="13" t="b">
        <v>1</v>
      </c>
      <c r="AF285" s="10" t="s">
        <v>60</v>
      </c>
      <c r="AG285" s="10" t="s">
        <v>61</v>
      </c>
      <c r="AH285" s="12"/>
    </row>
    <row r="286" spans="1:34" ht="32.1" customHeight="1" x14ac:dyDescent="0.25">
      <c r="A286" s="10" t="s">
        <v>56</v>
      </c>
      <c r="B286" s="10" t="s">
        <v>141</v>
      </c>
      <c r="C286" s="10" t="s">
        <v>121</v>
      </c>
      <c r="D286" s="10" t="s">
        <v>3</v>
      </c>
      <c r="E286" s="10" t="s">
        <v>4</v>
      </c>
      <c r="F286" s="10" t="s">
        <v>62</v>
      </c>
      <c r="G286" s="11">
        <v>1</v>
      </c>
      <c r="H286" s="11">
        <v>45</v>
      </c>
      <c r="I286" s="11">
        <v>45</v>
      </c>
      <c r="J286" s="11">
        <v>0</v>
      </c>
      <c r="K286" s="11">
        <v>0</v>
      </c>
      <c r="L286" s="12">
        <v>135.18100616251499</v>
      </c>
      <c r="M286" s="12">
        <v>89.989569553883257</v>
      </c>
      <c r="N286" s="12">
        <v>285.30502605246647</v>
      </c>
      <c r="O286" s="12">
        <v>864.19730581789463</v>
      </c>
      <c r="P286" s="12">
        <v>46.304673888641631</v>
      </c>
      <c r="Q286" s="12">
        <v>1268.604828660895</v>
      </c>
      <c r="R286" s="12">
        <v>181.84932679375279</v>
      </c>
      <c r="S286" s="12">
        <v>1.3452283864134951</v>
      </c>
      <c r="T286" s="12">
        <v>18</v>
      </c>
      <c r="U286" s="12">
        <v>2</v>
      </c>
      <c r="V286" s="12">
        <v>2.5</v>
      </c>
      <c r="W286" s="12">
        <v>2.5</v>
      </c>
      <c r="X286" s="12">
        <v>2.5</v>
      </c>
      <c r="Y286" s="12">
        <v>0</v>
      </c>
      <c r="Z286" s="12"/>
      <c r="AA286" s="12"/>
      <c r="AB286" s="11">
        <v>0</v>
      </c>
      <c r="AC286" s="12">
        <v>0</v>
      </c>
      <c r="AD286" s="11">
        <v>4</v>
      </c>
      <c r="AE286" s="13" t="b">
        <v>1</v>
      </c>
      <c r="AF286" s="10" t="s">
        <v>60</v>
      </c>
      <c r="AG286" s="10" t="s">
        <v>61</v>
      </c>
      <c r="AH286" s="12"/>
    </row>
    <row r="287" spans="1:34" ht="32.1" customHeight="1" x14ac:dyDescent="0.25">
      <c r="A287" s="10" t="s">
        <v>56</v>
      </c>
      <c r="B287" s="10" t="s">
        <v>141</v>
      </c>
      <c r="C287" s="10" t="s">
        <v>121</v>
      </c>
      <c r="D287" s="10" t="s">
        <v>3</v>
      </c>
      <c r="E287" s="10" t="s">
        <v>4</v>
      </c>
      <c r="F287" s="10" t="s">
        <v>63</v>
      </c>
      <c r="G287" s="11">
        <v>1</v>
      </c>
      <c r="H287" s="11">
        <v>251</v>
      </c>
      <c r="I287" s="11">
        <v>250</v>
      </c>
      <c r="J287" s="11">
        <v>1</v>
      </c>
      <c r="K287" s="11">
        <v>0</v>
      </c>
      <c r="L287" s="12">
        <v>35.049140633204637</v>
      </c>
      <c r="M287" s="12">
        <v>29.094896827846341</v>
      </c>
      <c r="N287" s="12">
        <v>54.271098375713443</v>
      </c>
      <c r="O287" s="12">
        <v>79.151856954638703</v>
      </c>
      <c r="P287" s="12">
        <v>13.74743332387636</v>
      </c>
      <c r="Q287" s="12">
        <v>416.10332344661089</v>
      </c>
      <c r="R287" s="12">
        <v>32.47637928731173</v>
      </c>
      <c r="S287" s="12">
        <v>0.92659559408838843</v>
      </c>
      <c r="T287" s="12">
        <v>18</v>
      </c>
      <c r="U287" s="12">
        <v>14</v>
      </c>
      <c r="V287" s="12">
        <v>13.944444444444439</v>
      </c>
      <c r="W287" s="12">
        <v>13.944444444444439</v>
      </c>
      <c r="X287" s="12">
        <v>13.888888888888889</v>
      </c>
      <c r="Y287" s="12">
        <v>0.39840637450199201</v>
      </c>
      <c r="Z287" s="12"/>
      <c r="AA287" s="12"/>
      <c r="AB287" s="11">
        <v>0</v>
      </c>
      <c r="AC287" s="12">
        <v>0</v>
      </c>
      <c r="AD287" s="11">
        <v>11</v>
      </c>
      <c r="AE287" s="13" t="b">
        <v>1</v>
      </c>
      <c r="AF287" s="10" t="s">
        <v>60</v>
      </c>
      <c r="AG287" s="10" t="s">
        <v>61</v>
      </c>
      <c r="AH287" s="12"/>
    </row>
    <row r="288" spans="1:34" ht="32.1" customHeight="1" x14ac:dyDescent="0.25">
      <c r="A288" s="10" t="s">
        <v>56</v>
      </c>
      <c r="B288" s="10" t="s">
        <v>141</v>
      </c>
      <c r="C288" s="10" t="s">
        <v>121</v>
      </c>
      <c r="D288" s="10" t="s">
        <v>3</v>
      </c>
      <c r="E288" s="10" t="s">
        <v>4</v>
      </c>
      <c r="F288" s="10" t="s">
        <v>64</v>
      </c>
      <c r="G288" s="11">
        <v>1</v>
      </c>
      <c r="H288" s="11">
        <v>64</v>
      </c>
      <c r="I288" s="11">
        <v>64</v>
      </c>
      <c r="J288" s="11">
        <v>0</v>
      </c>
      <c r="K288" s="11">
        <v>0</v>
      </c>
      <c r="L288" s="12">
        <v>49.416658719786469</v>
      </c>
      <c r="M288" s="12">
        <v>46.841041059601302</v>
      </c>
      <c r="N288" s="12">
        <v>79.142043533819844</v>
      </c>
      <c r="O288" s="12">
        <v>85.10530994088333</v>
      </c>
      <c r="P288" s="12">
        <v>26.065850577481569</v>
      </c>
      <c r="Q288" s="12">
        <v>91.494557559485145</v>
      </c>
      <c r="R288" s="12">
        <v>15.666662386264299</v>
      </c>
      <c r="S288" s="12">
        <v>0.31703200483668798</v>
      </c>
      <c r="T288" s="12">
        <v>18</v>
      </c>
      <c r="U288" s="12">
        <v>4</v>
      </c>
      <c r="V288" s="12">
        <v>3.5555555555555558</v>
      </c>
      <c r="W288" s="12">
        <v>3.5555555555555558</v>
      </c>
      <c r="X288" s="12">
        <v>3.5555555555555558</v>
      </c>
      <c r="Y288" s="12">
        <v>0</v>
      </c>
      <c r="Z288" s="12"/>
      <c r="AA288" s="12"/>
      <c r="AB288" s="11">
        <v>0</v>
      </c>
      <c r="AC288" s="12">
        <v>0</v>
      </c>
      <c r="AD288" s="11">
        <v>3</v>
      </c>
      <c r="AE288" s="13" t="b">
        <v>1</v>
      </c>
      <c r="AF288" s="10" t="s">
        <v>60</v>
      </c>
      <c r="AG288" s="10" t="s">
        <v>61</v>
      </c>
      <c r="AH288" s="12"/>
    </row>
    <row r="289" spans="1:34" ht="32.1" customHeight="1" x14ac:dyDescent="0.25">
      <c r="A289" s="10" t="s">
        <v>56</v>
      </c>
      <c r="B289" s="10" t="s">
        <v>142</v>
      </c>
      <c r="C289" s="10" t="s">
        <v>121</v>
      </c>
      <c r="D289" s="10" t="s">
        <v>3</v>
      </c>
      <c r="E289" s="10" t="s">
        <v>4</v>
      </c>
      <c r="F289" s="10" t="s">
        <v>5</v>
      </c>
      <c r="G289" s="11">
        <v>2</v>
      </c>
      <c r="H289" s="11">
        <v>360</v>
      </c>
      <c r="I289" s="11">
        <v>355</v>
      </c>
      <c r="J289" s="11">
        <v>5</v>
      </c>
      <c r="K289" s="11">
        <v>0</v>
      </c>
      <c r="L289" s="12">
        <v>62.920661346166142</v>
      </c>
      <c r="M289" s="12">
        <v>49.180412598751502</v>
      </c>
      <c r="N289" s="12">
        <v>130.75299351699351</v>
      </c>
      <c r="O289" s="12">
        <v>249.956864213133</v>
      </c>
      <c r="P289" s="12">
        <v>11.954115274521721</v>
      </c>
      <c r="Q289" s="12">
        <v>580.65154309840182</v>
      </c>
      <c r="R289" s="12">
        <v>49.253263749221468</v>
      </c>
      <c r="S289" s="12">
        <v>0.78278363093242576</v>
      </c>
      <c r="T289" s="12">
        <v>18</v>
      </c>
      <c r="U289" s="12">
        <v>20</v>
      </c>
      <c r="V289" s="12">
        <v>20</v>
      </c>
      <c r="W289" s="12">
        <v>20</v>
      </c>
      <c r="X289" s="12">
        <v>19.722222222222221</v>
      </c>
      <c r="Y289" s="12">
        <v>1.3888888888888891</v>
      </c>
      <c r="Z289" s="12">
        <v>0</v>
      </c>
      <c r="AA289" s="12">
        <v>0</v>
      </c>
      <c r="AB289" s="11">
        <v>0</v>
      </c>
      <c r="AC289" s="12">
        <v>0</v>
      </c>
      <c r="AD289" s="11">
        <v>29</v>
      </c>
      <c r="AE289" s="13" t="b">
        <v>1</v>
      </c>
      <c r="AF289" s="10" t="s">
        <v>60</v>
      </c>
      <c r="AG289" s="10" t="s">
        <v>61</v>
      </c>
      <c r="AH289" s="12"/>
    </row>
    <row r="290" spans="1:34" ht="32.1" customHeight="1" x14ac:dyDescent="0.25">
      <c r="A290" s="10" t="s">
        <v>56</v>
      </c>
      <c r="B290" s="10" t="s">
        <v>142</v>
      </c>
      <c r="C290" s="10" t="s">
        <v>121</v>
      </c>
      <c r="D290" s="10" t="s">
        <v>3</v>
      </c>
      <c r="E290" s="10" t="s">
        <v>4</v>
      </c>
      <c r="F290" s="10" t="s">
        <v>62</v>
      </c>
      <c r="G290" s="11">
        <v>2</v>
      </c>
      <c r="H290" s="11">
        <v>43</v>
      </c>
      <c r="I290" s="11">
        <v>43</v>
      </c>
      <c r="J290" s="11">
        <v>0</v>
      </c>
      <c r="K290" s="11">
        <v>0</v>
      </c>
      <c r="L290" s="12">
        <v>135.4830977811707</v>
      </c>
      <c r="M290" s="12">
        <v>112.46071802710379</v>
      </c>
      <c r="N290" s="12">
        <v>295.60836428757068</v>
      </c>
      <c r="O290" s="12">
        <v>331.46626206679042</v>
      </c>
      <c r="P290" s="12">
        <v>65.195563718091918</v>
      </c>
      <c r="Q290" s="12">
        <v>331.81475861621539</v>
      </c>
      <c r="R290" s="12">
        <v>66.51572070416897</v>
      </c>
      <c r="S290" s="12">
        <v>0.49095216889418702</v>
      </c>
      <c r="T290" s="12">
        <v>18</v>
      </c>
      <c r="U290" s="12">
        <v>2</v>
      </c>
      <c r="V290" s="12">
        <v>2.3888888888888888</v>
      </c>
      <c r="W290" s="12">
        <v>2.3888888888888888</v>
      </c>
      <c r="X290" s="12">
        <v>2.3888888888888888</v>
      </c>
      <c r="Y290" s="12">
        <v>0</v>
      </c>
      <c r="Z290" s="12"/>
      <c r="AA290" s="12"/>
      <c r="AB290" s="11">
        <v>0</v>
      </c>
      <c r="AC290" s="12">
        <v>0</v>
      </c>
      <c r="AD290" s="11">
        <v>3</v>
      </c>
      <c r="AE290" s="13" t="b">
        <v>1</v>
      </c>
      <c r="AF290" s="10" t="s">
        <v>60</v>
      </c>
      <c r="AG290" s="10" t="s">
        <v>61</v>
      </c>
      <c r="AH290" s="12"/>
    </row>
    <row r="291" spans="1:34" ht="32.1" customHeight="1" x14ac:dyDescent="0.25">
      <c r="A291" s="10" t="s">
        <v>56</v>
      </c>
      <c r="B291" s="10" t="s">
        <v>142</v>
      </c>
      <c r="C291" s="10" t="s">
        <v>121</v>
      </c>
      <c r="D291" s="10" t="s">
        <v>3</v>
      </c>
      <c r="E291" s="10" t="s">
        <v>4</v>
      </c>
      <c r="F291" s="10" t="s">
        <v>63</v>
      </c>
      <c r="G291" s="11">
        <v>2</v>
      </c>
      <c r="H291" s="11">
        <v>232</v>
      </c>
      <c r="I291" s="11">
        <v>228</v>
      </c>
      <c r="J291" s="11">
        <v>4</v>
      </c>
      <c r="K291" s="11">
        <v>0</v>
      </c>
      <c r="L291" s="12">
        <v>48.907842643780263</v>
      </c>
      <c r="M291" s="12">
        <v>42.794223929356747</v>
      </c>
      <c r="N291" s="12">
        <v>83.898982175570509</v>
      </c>
      <c r="O291" s="12">
        <v>97.067742437856893</v>
      </c>
      <c r="P291" s="12">
        <v>11.954115274521721</v>
      </c>
      <c r="Q291" s="12">
        <v>580.65154309840182</v>
      </c>
      <c r="R291" s="12">
        <v>39.046355581821217</v>
      </c>
      <c r="S291" s="12">
        <v>0.7983659362408384</v>
      </c>
      <c r="T291" s="12">
        <v>18</v>
      </c>
      <c r="U291" s="12">
        <v>14</v>
      </c>
      <c r="V291" s="12">
        <v>12.888888888888889</v>
      </c>
      <c r="W291" s="12">
        <v>12.888888888888889</v>
      </c>
      <c r="X291" s="12">
        <v>12.66666666666667</v>
      </c>
      <c r="Y291" s="12">
        <v>1.7241379310344831</v>
      </c>
      <c r="Z291" s="12"/>
      <c r="AA291" s="12"/>
      <c r="AB291" s="11">
        <v>0</v>
      </c>
      <c r="AC291" s="12">
        <v>0</v>
      </c>
      <c r="AD291" s="11">
        <v>16</v>
      </c>
      <c r="AE291" s="13" t="b">
        <v>1</v>
      </c>
      <c r="AF291" s="10" t="s">
        <v>60</v>
      </c>
      <c r="AG291" s="10" t="s">
        <v>61</v>
      </c>
      <c r="AH291" s="12"/>
    </row>
    <row r="292" spans="1:34" ht="32.1" customHeight="1" x14ac:dyDescent="0.25">
      <c r="A292" s="10" t="s">
        <v>56</v>
      </c>
      <c r="B292" s="10" t="s">
        <v>142</v>
      </c>
      <c r="C292" s="10" t="s">
        <v>121</v>
      </c>
      <c r="D292" s="10" t="s">
        <v>3</v>
      </c>
      <c r="E292" s="10" t="s">
        <v>4</v>
      </c>
      <c r="F292" s="10" t="s">
        <v>64</v>
      </c>
      <c r="G292" s="11">
        <v>2</v>
      </c>
      <c r="H292" s="11">
        <v>85</v>
      </c>
      <c r="I292" s="11">
        <v>84</v>
      </c>
      <c r="J292" s="11">
        <v>1</v>
      </c>
      <c r="K292" s="11">
        <v>0</v>
      </c>
      <c r="L292" s="12">
        <v>64.459357490264097</v>
      </c>
      <c r="M292" s="12">
        <v>56.688683505204381</v>
      </c>
      <c r="N292" s="12">
        <v>115.83265267556909</v>
      </c>
      <c r="O292" s="12">
        <v>129.87459250698299</v>
      </c>
      <c r="P292" s="12">
        <v>22.957982942878068</v>
      </c>
      <c r="Q292" s="12">
        <v>142.7832835192458</v>
      </c>
      <c r="R292" s="12">
        <v>26.885677922195349</v>
      </c>
      <c r="S292" s="12">
        <v>0.41709503428196809</v>
      </c>
      <c r="T292" s="12">
        <v>18</v>
      </c>
      <c r="U292" s="12">
        <v>4</v>
      </c>
      <c r="V292" s="12">
        <v>4.7222222222222223</v>
      </c>
      <c r="W292" s="12">
        <v>4.7222222222222223</v>
      </c>
      <c r="X292" s="12">
        <v>4.666666666666667</v>
      </c>
      <c r="Y292" s="12">
        <v>1.1764705882352939</v>
      </c>
      <c r="Z292" s="12"/>
      <c r="AA292" s="12"/>
      <c r="AB292" s="11">
        <v>0</v>
      </c>
      <c r="AC292" s="12">
        <v>0</v>
      </c>
      <c r="AD292" s="11">
        <v>10</v>
      </c>
      <c r="AE292" s="13" t="b">
        <v>1</v>
      </c>
      <c r="AF292" s="10" t="s">
        <v>60</v>
      </c>
      <c r="AG292" s="10" t="s">
        <v>61</v>
      </c>
      <c r="AH292" s="12"/>
    </row>
    <row r="293" spans="1:34" ht="32.1" customHeight="1" x14ac:dyDescent="0.25">
      <c r="A293" s="10" t="s">
        <v>56</v>
      </c>
      <c r="B293" s="10" t="s">
        <v>143</v>
      </c>
      <c r="C293" s="10" t="s">
        <v>121</v>
      </c>
      <c r="D293" s="10" t="s">
        <v>3</v>
      </c>
      <c r="E293" s="10" t="s">
        <v>4</v>
      </c>
      <c r="F293" s="10" t="s">
        <v>5</v>
      </c>
      <c r="G293" s="11">
        <v>3</v>
      </c>
      <c r="H293" s="11">
        <v>360</v>
      </c>
      <c r="I293" s="11">
        <v>351</v>
      </c>
      <c r="J293" s="11">
        <v>9</v>
      </c>
      <c r="K293" s="11">
        <v>0</v>
      </c>
      <c r="L293" s="12">
        <v>42.692094314305137</v>
      </c>
      <c r="M293" s="12">
        <v>33.981426637906139</v>
      </c>
      <c r="N293" s="12">
        <v>91.899387229332405</v>
      </c>
      <c r="O293" s="12">
        <v>167.92904255069811</v>
      </c>
      <c r="P293" s="12">
        <v>10.811724117305131</v>
      </c>
      <c r="Q293" s="12">
        <v>615.89542180649357</v>
      </c>
      <c r="R293" s="12">
        <v>43.230643556520498</v>
      </c>
      <c r="S293" s="12">
        <v>1.0126147299837409</v>
      </c>
      <c r="T293" s="12">
        <v>18</v>
      </c>
      <c r="U293" s="12">
        <v>20</v>
      </c>
      <c r="V293" s="12">
        <v>20</v>
      </c>
      <c r="W293" s="12">
        <v>20</v>
      </c>
      <c r="X293" s="12">
        <v>19.5</v>
      </c>
      <c r="Y293" s="12">
        <v>2.5</v>
      </c>
      <c r="Z293" s="12">
        <v>0</v>
      </c>
      <c r="AA293" s="12">
        <v>0</v>
      </c>
      <c r="AB293" s="11">
        <v>0</v>
      </c>
      <c r="AC293" s="12">
        <v>0</v>
      </c>
      <c r="AD293" s="11">
        <v>30</v>
      </c>
      <c r="AE293" s="13" t="b">
        <v>1</v>
      </c>
      <c r="AF293" s="10" t="s">
        <v>60</v>
      </c>
      <c r="AG293" s="10" t="s">
        <v>61</v>
      </c>
      <c r="AH293" s="12"/>
    </row>
    <row r="294" spans="1:34" ht="32.1" customHeight="1" x14ac:dyDescent="0.25">
      <c r="A294" s="10" t="s">
        <v>56</v>
      </c>
      <c r="B294" s="10" t="s">
        <v>143</v>
      </c>
      <c r="C294" s="10" t="s">
        <v>121</v>
      </c>
      <c r="D294" s="10" t="s">
        <v>3</v>
      </c>
      <c r="E294" s="10" t="s">
        <v>4</v>
      </c>
      <c r="F294" s="10" t="s">
        <v>62</v>
      </c>
      <c r="G294" s="11">
        <v>3</v>
      </c>
      <c r="H294" s="11">
        <v>43</v>
      </c>
      <c r="I294" s="11">
        <v>42</v>
      </c>
      <c r="J294" s="11">
        <v>1</v>
      </c>
      <c r="K294" s="11">
        <v>0</v>
      </c>
      <c r="L294" s="12">
        <v>92.116120334337438</v>
      </c>
      <c r="M294" s="12">
        <v>77.976566703208562</v>
      </c>
      <c r="N294" s="12">
        <v>193.4595808448808</v>
      </c>
      <c r="O294" s="12">
        <v>302.62429109767521</v>
      </c>
      <c r="P294" s="12">
        <v>36.759776042783777</v>
      </c>
      <c r="Q294" s="12">
        <v>373.82032804549738</v>
      </c>
      <c r="R294" s="12">
        <v>57.586921271212269</v>
      </c>
      <c r="S294" s="12">
        <v>0.6251557388891249</v>
      </c>
      <c r="T294" s="12">
        <v>18</v>
      </c>
      <c r="U294" s="12">
        <v>2</v>
      </c>
      <c r="V294" s="12">
        <v>2.3888888888888888</v>
      </c>
      <c r="W294" s="12">
        <v>2.3888888888888888</v>
      </c>
      <c r="X294" s="12">
        <v>2.333333333333333</v>
      </c>
      <c r="Y294" s="12">
        <v>2.3255813953488369</v>
      </c>
      <c r="Z294" s="12"/>
      <c r="AA294" s="12"/>
      <c r="AB294" s="11">
        <v>0</v>
      </c>
      <c r="AC294" s="12">
        <v>0</v>
      </c>
      <c r="AD294" s="11">
        <v>2</v>
      </c>
      <c r="AE294" s="13" t="b">
        <v>1</v>
      </c>
      <c r="AF294" s="10" t="s">
        <v>60</v>
      </c>
      <c r="AG294" s="10" t="s">
        <v>61</v>
      </c>
      <c r="AH294" s="12"/>
    </row>
    <row r="295" spans="1:34" ht="32.1" customHeight="1" x14ac:dyDescent="0.25">
      <c r="A295" s="10" t="s">
        <v>56</v>
      </c>
      <c r="B295" s="10" t="s">
        <v>143</v>
      </c>
      <c r="C295" s="10" t="s">
        <v>121</v>
      </c>
      <c r="D295" s="10" t="s">
        <v>3</v>
      </c>
      <c r="E295" s="10" t="s">
        <v>4</v>
      </c>
      <c r="F295" s="10" t="s">
        <v>63</v>
      </c>
      <c r="G295" s="11">
        <v>3</v>
      </c>
      <c r="H295" s="11">
        <v>231</v>
      </c>
      <c r="I295" s="11">
        <v>224</v>
      </c>
      <c r="J295" s="11">
        <v>7</v>
      </c>
      <c r="K295" s="11">
        <v>0</v>
      </c>
      <c r="L295" s="12">
        <v>30.44302078828732</v>
      </c>
      <c r="M295" s="12">
        <v>27.428585010788041</v>
      </c>
      <c r="N295" s="12">
        <v>55.068890006076643</v>
      </c>
      <c r="O295" s="12">
        <v>64.330998926098772</v>
      </c>
      <c r="P295" s="12">
        <v>10.811724117305131</v>
      </c>
      <c r="Q295" s="12">
        <v>84.306583416537507</v>
      </c>
      <c r="R295" s="12">
        <v>11.874293597759451</v>
      </c>
      <c r="S295" s="12">
        <v>0.39004978120725731</v>
      </c>
      <c r="T295" s="12">
        <v>18</v>
      </c>
      <c r="U295" s="12">
        <v>14</v>
      </c>
      <c r="V295" s="12">
        <v>12.83333333333333</v>
      </c>
      <c r="W295" s="12">
        <v>12.83333333333333</v>
      </c>
      <c r="X295" s="12">
        <v>12.444444444444439</v>
      </c>
      <c r="Y295" s="12">
        <v>3.0303030303030298</v>
      </c>
      <c r="Z295" s="12"/>
      <c r="AA295" s="12"/>
      <c r="AB295" s="11">
        <v>0</v>
      </c>
      <c r="AC295" s="12">
        <v>0</v>
      </c>
      <c r="AD295" s="11">
        <v>24</v>
      </c>
      <c r="AE295" s="13" t="b">
        <v>1</v>
      </c>
      <c r="AF295" s="10" t="s">
        <v>60</v>
      </c>
      <c r="AG295" s="10" t="s">
        <v>61</v>
      </c>
      <c r="AH295" s="12"/>
    </row>
    <row r="296" spans="1:34" ht="32.1" customHeight="1" x14ac:dyDescent="0.25">
      <c r="A296" s="10" t="s">
        <v>56</v>
      </c>
      <c r="B296" s="10" t="s">
        <v>143</v>
      </c>
      <c r="C296" s="10" t="s">
        <v>121</v>
      </c>
      <c r="D296" s="10" t="s">
        <v>3</v>
      </c>
      <c r="E296" s="10" t="s">
        <v>4</v>
      </c>
      <c r="F296" s="10" t="s">
        <v>64</v>
      </c>
      <c r="G296" s="11">
        <v>3</v>
      </c>
      <c r="H296" s="11">
        <v>86</v>
      </c>
      <c r="I296" s="11">
        <v>85</v>
      </c>
      <c r="J296" s="11">
        <v>1</v>
      </c>
      <c r="K296" s="11">
        <v>0</v>
      </c>
      <c r="L296" s="12">
        <v>50.881662519522941</v>
      </c>
      <c r="M296" s="12">
        <v>41.340215739795653</v>
      </c>
      <c r="N296" s="12">
        <v>81.202975523190958</v>
      </c>
      <c r="O296" s="12">
        <v>199.00039051027341</v>
      </c>
      <c r="P296" s="12">
        <v>14.06373689895887</v>
      </c>
      <c r="Q296" s="12">
        <v>615.89542180649357</v>
      </c>
      <c r="R296" s="12">
        <v>64.512096161230502</v>
      </c>
      <c r="S296" s="12">
        <v>1.2678849897343201</v>
      </c>
      <c r="T296" s="12">
        <v>18</v>
      </c>
      <c r="U296" s="12">
        <v>4</v>
      </c>
      <c r="V296" s="12">
        <v>4.7777777777777777</v>
      </c>
      <c r="W296" s="12">
        <v>4.7777777777777777</v>
      </c>
      <c r="X296" s="12">
        <v>4.7222222222222223</v>
      </c>
      <c r="Y296" s="12">
        <v>1.1627906976744189</v>
      </c>
      <c r="Z296" s="12"/>
      <c r="AA296" s="12"/>
      <c r="AB296" s="11">
        <v>0</v>
      </c>
      <c r="AC296" s="12">
        <v>0</v>
      </c>
      <c r="AD296" s="11">
        <v>4</v>
      </c>
      <c r="AE296" s="13" t="b">
        <v>1</v>
      </c>
      <c r="AF296" s="10" t="s">
        <v>60</v>
      </c>
      <c r="AG296" s="10" t="s">
        <v>61</v>
      </c>
      <c r="AH296" s="12"/>
    </row>
    <row r="297" spans="1:34" ht="32.1" customHeight="1" x14ac:dyDescent="0.25">
      <c r="A297" s="10" t="s">
        <v>56</v>
      </c>
      <c r="B297" s="10" t="s">
        <v>144</v>
      </c>
      <c r="C297" s="10" t="s">
        <v>121</v>
      </c>
      <c r="D297" s="10" t="s">
        <v>3</v>
      </c>
      <c r="E297" s="10" t="s">
        <v>4</v>
      </c>
      <c r="F297" s="10" t="s">
        <v>5</v>
      </c>
      <c r="G297" s="11">
        <v>4</v>
      </c>
      <c r="H297" s="11">
        <v>360</v>
      </c>
      <c r="I297" s="11">
        <v>354</v>
      </c>
      <c r="J297" s="11">
        <v>6</v>
      </c>
      <c r="K297" s="11">
        <v>0</v>
      </c>
      <c r="L297" s="12">
        <v>50.595036226850063</v>
      </c>
      <c r="M297" s="12">
        <v>39.168257847999463</v>
      </c>
      <c r="N297" s="12">
        <v>114.9998436109437</v>
      </c>
      <c r="O297" s="12">
        <v>182.76703465251981</v>
      </c>
      <c r="P297" s="12">
        <v>12.79031779691651</v>
      </c>
      <c r="Q297" s="12">
        <v>582.38839485109872</v>
      </c>
      <c r="R297" s="12">
        <v>47.686057509956953</v>
      </c>
      <c r="S297" s="12">
        <v>0.94250466184369763</v>
      </c>
      <c r="T297" s="12">
        <v>18</v>
      </c>
      <c r="U297" s="12">
        <v>20</v>
      </c>
      <c r="V297" s="12">
        <v>20</v>
      </c>
      <c r="W297" s="12">
        <v>20</v>
      </c>
      <c r="X297" s="12">
        <v>19.666666666666671</v>
      </c>
      <c r="Y297" s="12">
        <v>1.666666666666667</v>
      </c>
      <c r="Z297" s="12">
        <v>0</v>
      </c>
      <c r="AA297" s="12">
        <v>0</v>
      </c>
      <c r="AB297" s="11">
        <v>0</v>
      </c>
      <c r="AC297" s="12">
        <v>0</v>
      </c>
      <c r="AD297" s="11">
        <v>26</v>
      </c>
      <c r="AE297" s="13" t="b">
        <v>1</v>
      </c>
      <c r="AF297" s="10" t="s">
        <v>60</v>
      </c>
      <c r="AG297" s="10" t="s">
        <v>61</v>
      </c>
      <c r="AH297" s="12"/>
    </row>
    <row r="298" spans="1:34" ht="32.1" customHeight="1" x14ac:dyDescent="0.25">
      <c r="A298" s="10" t="s">
        <v>56</v>
      </c>
      <c r="B298" s="10" t="s">
        <v>144</v>
      </c>
      <c r="C298" s="10" t="s">
        <v>121</v>
      </c>
      <c r="D298" s="10" t="s">
        <v>3</v>
      </c>
      <c r="E298" s="10" t="s">
        <v>4</v>
      </c>
      <c r="F298" s="10" t="s">
        <v>62</v>
      </c>
      <c r="G298" s="11">
        <v>4</v>
      </c>
      <c r="H298" s="11">
        <v>34</v>
      </c>
      <c r="I298" s="11">
        <v>32</v>
      </c>
      <c r="J298" s="11">
        <v>2</v>
      </c>
      <c r="K298" s="11">
        <v>0</v>
      </c>
      <c r="L298" s="12">
        <v>115.08291624010459</v>
      </c>
      <c r="M298" s="12">
        <v>111.3336618401959</v>
      </c>
      <c r="N298" s="12">
        <v>182.74671625633991</v>
      </c>
      <c r="O298" s="12">
        <v>190.001721997614</v>
      </c>
      <c r="P298" s="12">
        <v>26.001771698134</v>
      </c>
      <c r="Q298" s="12">
        <v>193.46666771146039</v>
      </c>
      <c r="R298" s="12">
        <v>38.060649369792927</v>
      </c>
      <c r="S298" s="12">
        <v>0.33072371306949377</v>
      </c>
      <c r="T298" s="12">
        <v>18</v>
      </c>
      <c r="U298" s="12">
        <v>2</v>
      </c>
      <c r="V298" s="12">
        <v>1.8888888888888891</v>
      </c>
      <c r="W298" s="12">
        <v>1.8888888888888891</v>
      </c>
      <c r="X298" s="12">
        <v>1.7777777777777779</v>
      </c>
      <c r="Y298" s="12">
        <v>5.882352941176471</v>
      </c>
      <c r="Z298" s="12"/>
      <c r="AA298" s="12"/>
      <c r="AB298" s="11">
        <v>0</v>
      </c>
      <c r="AC298" s="12">
        <v>0</v>
      </c>
      <c r="AD298" s="11">
        <v>2</v>
      </c>
      <c r="AE298" s="13" t="b">
        <v>1</v>
      </c>
      <c r="AF298" s="10" t="s">
        <v>60</v>
      </c>
      <c r="AG298" s="10" t="s">
        <v>61</v>
      </c>
      <c r="AH298" s="12"/>
    </row>
    <row r="299" spans="1:34" ht="32.1" customHeight="1" x14ac:dyDescent="0.25">
      <c r="A299" s="10" t="s">
        <v>56</v>
      </c>
      <c r="B299" s="10" t="s">
        <v>144</v>
      </c>
      <c r="C299" s="10" t="s">
        <v>121</v>
      </c>
      <c r="D299" s="10" t="s">
        <v>3</v>
      </c>
      <c r="E299" s="10" t="s">
        <v>4</v>
      </c>
      <c r="F299" s="10" t="s">
        <v>63</v>
      </c>
      <c r="G299" s="11">
        <v>4</v>
      </c>
      <c r="H299" s="11">
        <v>264</v>
      </c>
      <c r="I299" s="11">
        <v>260</v>
      </c>
      <c r="J299" s="11">
        <v>4</v>
      </c>
      <c r="K299" s="11">
        <v>0</v>
      </c>
      <c r="L299" s="12">
        <v>39.786705852631648</v>
      </c>
      <c r="M299" s="12">
        <v>35.252242068679919</v>
      </c>
      <c r="N299" s="12">
        <v>70.350259846811852</v>
      </c>
      <c r="O299" s="12">
        <v>87.638278647437588</v>
      </c>
      <c r="P299" s="12">
        <v>12.79031779691651</v>
      </c>
      <c r="Q299" s="12">
        <v>582.38839485109872</v>
      </c>
      <c r="R299" s="12">
        <v>36.520898322072767</v>
      </c>
      <c r="S299" s="12">
        <v>0.91791711677123278</v>
      </c>
      <c r="T299" s="12">
        <v>18</v>
      </c>
      <c r="U299" s="12">
        <v>14</v>
      </c>
      <c r="V299" s="12">
        <v>14.66666666666667</v>
      </c>
      <c r="W299" s="12">
        <v>14.66666666666667</v>
      </c>
      <c r="X299" s="12">
        <v>14.444444444444439</v>
      </c>
      <c r="Y299" s="12">
        <v>1.5151515151515149</v>
      </c>
      <c r="Z299" s="12"/>
      <c r="AA299" s="12"/>
      <c r="AB299" s="11">
        <v>0</v>
      </c>
      <c r="AC299" s="12">
        <v>0</v>
      </c>
      <c r="AD299" s="11">
        <v>19</v>
      </c>
      <c r="AE299" s="13" t="b">
        <v>1</v>
      </c>
      <c r="AF299" s="10" t="s">
        <v>60</v>
      </c>
      <c r="AG299" s="10" t="s">
        <v>61</v>
      </c>
      <c r="AH299" s="12"/>
    </row>
    <row r="300" spans="1:34" ht="32.1" customHeight="1" x14ac:dyDescent="0.25">
      <c r="A300" s="10" t="s">
        <v>56</v>
      </c>
      <c r="B300" s="10" t="s">
        <v>144</v>
      </c>
      <c r="C300" s="10" t="s">
        <v>121</v>
      </c>
      <c r="D300" s="10" t="s">
        <v>3</v>
      </c>
      <c r="E300" s="10" t="s">
        <v>4</v>
      </c>
      <c r="F300" s="10" t="s">
        <v>64</v>
      </c>
      <c r="G300" s="11">
        <v>4</v>
      </c>
      <c r="H300" s="11">
        <v>62</v>
      </c>
      <c r="I300" s="11">
        <v>62</v>
      </c>
      <c r="J300" s="11">
        <v>0</v>
      </c>
      <c r="K300" s="11">
        <v>0</v>
      </c>
      <c r="L300" s="12">
        <v>61.253282974317941</v>
      </c>
      <c r="M300" s="12">
        <v>49.708988677001877</v>
      </c>
      <c r="N300" s="12">
        <v>99.849657126947463</v>
      </c>
      <c r="O300" s="12">
        <v>278.20684012487709</v>
      </c>
      <c r="P300" s="12">
        <v>21.384927014098899</v>
      </c>
      <c r="Q300" s="12">
        <v>516.88134230558171</v>
      </c>
      <c r="R300" s="12">
        <v>62.526771868712451</v>
      </c>
      <c r="S300" s="12">
        <v>1.0207905410544029</v>
      </c>
      <c r="T300" s="12">
        <v>18</v>
      </c>
      <c r="U300" s="12">
        <v>4</v>
      </c>
      <c r="V300" s="12">
        <v>3.4444444444444451</v>
      </c>
      <c r="W300" s="12">
        <v>3.4444444444444451</v>
      </c>
      <c r="X300" s="12">
        <v>3.4444444444444451</v>
      </c>
      <c r="Y300" s="12">
        <v>0</v>
      </c>
      <c r="Z300" s="12"/>
      <c r="AA300" s="12"/>
      <c r="AB300" s="11">
        <v>0</v>
      </c>
      <c r="AC300" s="12">
        <v>0</v>
      </c>
      <c r="AD300" s="11">
        <v>5</v>
      </c>
      <c r="AE300" s="13" t="b">
        <v>1</v>
      </c>
      <c r="AF300" s="10" t="s">
        <v>60</v>
      </c>
      <c r="AG300" s="10" t="s">
        <v>61</v>
      </c>
      <c r="AH300" s="12"/>
    </row>
    <row r="301" spans="1:34" ht="32.1" customHeight="1" x14ac:dyDescent="0.25">
      <c r="A301" s="10" t="s">
        <v>56</v>
      </c>
      <c r="B301" s="10" t="s">
        <v>145</v>
      </c>
      <c r="C301" s="10" t="s">
        <v>121</v>
      </c>
      <c r="D301" s="10" t="s">
        <v>3</v>
      </c>
      <c r="E301" s="10" t="s">
        <v>4</v>
      </c>
      <c r="F301" s="10" t="s">
        <v>5</v>
      </c>
      <c r="G301" s="11">
        <v>5</v>
      </c>
      <c r="H301" s="11">
        <v>360</v>
      </c>
      <c r="I301" s="11">
        <v>355</v>
      </c>
      <c r="J301" s="11">
        <v>5</v>
      </c>
      <c r="K301" s="11">
        <v>0</v>
      </c>
      <c r="L301" s="12">
        <v>47.11488568476436</v>
      </c>
      <c r="M301" s="12">
        <v>37.408674541489113</v>
      </c>
      <c r="N301" s="12">
        <v>110.56539124540809</v>
      </c>
      <c r="O301" s="12">
        <v>200.84945246478819</v>
      </c>
      <c r="P301" s="12">
        <v>9.7508866002525885</v>
      </c>
      <c r="Q301" s="12">
        <v>486.30823485834298</v>
      </c>
      <c r="R301" s="12">
        <v>45.55483606137679</v>
      </c>
      <c r="S301" s="12">
        <v>0.96688839205032717</v>
      </c>
      <c r="T301" s="12">
        <v>18</v>
      </c>
      <c r="U301" s="12">
        <v>20</v>
      </c>
      <c r="V301" s="12">
        <v>19.944444444444439</v>
      </c>
      <c r="W301" s="12">
        <v>20</v>
      </c>
      <c r="X301" s="12">
        <v>19.722222222222221</v>
      </c>
      <c r="Y301" s="12">
        <v>1.3888888888888891</v>
      </c>
      <c r="Z301" s="12">
        <v>0</v>
      </c>
      <c r="AA301" s="12">
        <v>0</v>
      </c>
      <c r="AB301" s="11">
        <v>0</v>
      </c>
      <c r="AC301" s="12">
        <v>0</v>
      </c>
      <c r="AD301" s="11">
        <v>22</v>
      </c>
      <c r="AE301" s="13" t="b">
        <v>1</v>
      </c>
      <c r="AF301" s="10" t="s">
        <v>60</v>
      </c>
      <c r="AG301" s="10" t="s">
        <v>61</v>
      </c>
      <c r="AH301" s="12"/>
    </row>
    <row r="302" spans="1:34" ht="32.1" customHeight="1" x14ac:dyDescent="0.25">
      <c r="A302" s="10" t="s">
        <v>56</v>
      </c>
      <c r="B302" s="10" t="s">
        <v>145</v>
      </c>
      <c r="C302" s="10" t="s">
        <v>121</v>
      </c>
      <c r="D302" s="10" t="s">
        <v>3</v>
      </c>
      <c r="E302" s="10" t="s">
        <v>4</v>
      </c>
      <c r="F302" s="10" t="s">
        <v>62</v>
      </c>
      <c r="G302" s="11">
        <v>5</v>
      </c>
      <c r="H302" s="11">
        <v>43</v>
      </c>
      <c r="I302" s="11">
        <v>43</v>
      </c>
      <c r="J302" s="11">
        <v>0</v>
      </c>
      <c r="K302" s="11">
        <v>0</v>
      </c>
      <c r="L302" s="12">
        <v>100.97267884851991</v>
      </c>
      <c r="M302" s="12">
        <v>94.248228165658105</v>
      </c>
      <c r="N302" s="12">
        <v>178.5017209528294</v>
      </c>
      <c r="O302" s="12">
        <v>202.34399822428159</v>
      </c>
      <c r="P302" s="12">
        <v>44.086842559574748</v>
      </c>
      <c r="Q302" s="12">
        <v>206.03640539479531</v>
      </c>
      <c r="R302" s="12">
        <v>38.735366688271441</v>
      </c>
      <c r="S302" s="12">
        <v>0.38362225435637448</v>
      </c>
      <c r="T302" s="12">
        <v>18</v>
      </c>
      <c r="U302" s="12">
        <v>2</v>
      </c>
      <c r="V302" s="12">
        <v>2.333333333333333</v>
      </c>
      <c r="W302" s="12">
        <v>2.3888888888888888</v>
      </c>
      <c r="X302" s="12">
        <v>2.3888888888888888</v>
      </c>
      <c r="Y302" s="12">
        <v>0</v>
      </c>
      <c r="Z302" s="12"/>
      <c r="AA302" s="12"/>
      <c r="AB302" s="11">
        <v>0</v>
      </c>
      <c r="AC302" s="12">
        <v>0</v>
      </c>
      <c r="AD302" s="11">
        <v>1</v>
      </c>
      <c r="AE302" s="13" t="b">
        <v>1</v>
      </c>
      <c r="AF302" s="10" t="s">
        <v>60</v>
      </c>
      <c r="AG302" s="10" t="s">
        <v>61</v>
      </c>
      <c r="AH302" s="12"/>
    </row>
    <row r="303" spans="1:34" ht="32.1" customHeight="1" x14ac:dyDescent="0.25">
      <c r="A303" s="10" t="s">
        <v>56</v>
      </c>
      <c r="B303" s="10" t="s">
        <v>145</v>
      </c>
      <c r="C303" s="10" t="s">
        <v>121</v>
      </c>
      <c r="D303" s="10" t="s">
        <v>3</v>
      </c>
      <c r="E303" s="10" t="s">
        <v>4</v>
      </c>
      <c r="F303" s="10" t="s">
        <v>63</v>
      </c>
      <c r="G303" s="11">
        <v>5</v>
      </c>
      <c r="H303" s="11">
        <v>256</v>
      </c>
      <c r="I303" s="11">
        <v>251</v>
      </c>
      <c r="J303" s="11">
        <v>5</v>
      </c>
      <c r="K303" s="11">
        <v>0</v>
      </c>
      <c r="L303" s="12">
        <v>37.440465651122537</v>
      </c>
      <c r="M303" s="12">
        <v>33.333228727149333</v>
      </c>
      <c r="N303" s="12">
        <v>59.986687873936717</v>
      </c>
      <c r="O303" s="12">
        <v>111.5087809789058</v>
      </c>
      <c r="P303" s="12">
        <v>9.7508866002525885</v>
      </c>
      <c r="Q303" s="12">
        <v>413.21838252396992</v>
      </c>
      <c r="R303" s="12">
        <v>35.850641347140382</v>
      </c>
      <c r="S303" s="12">
        <v>0.95753727213768003</v>
      </c>
      <c r="T303" s="12">
        <v>18</v>
      </c>
      <c r="U303" s="12">
        <v>14</v>
      </c>
      <c r="V303" s="12">
        <v>14.22222222222222</v>
      </c>
      <c r="W303" s="12">
        <v>14.22222222222222</v>
      </c>
      <c r="X303" s="12">
        <v>13.944444444444439</v>
      </c>
      <c r="Y303" s="12">
        <v>1.953125</v>
      </c>
      <c r="Z303" s="12"/>
      <c r="AA303" s="12"/>
      <c r="AB303" s="11">
        <v>0</v>
      </c>
      <c r="AC303" s="12">
        <v>0</v>
      </c>
      <c r="AD303" s="11">
        <v>18</v>
      </c>
      <c r="AE303" s="13" t="b">
        <v>1</v>
      </c>
      <c r="AF303" s="10" t="s">
        <v>60</v>
      </c>
      <c r="AG303" s="10" t="s">
        <v>61</v>
      </c>
      <c r="AH303" s="12"/>
    </row>
    <row r="304" spans="1:34" ht="32.1" customHeight="1" x14ac:dyDescent="0.25">
      <c r="A304" s="10" t="s">
        <v>56</v>
      </c>
      <c r="B304" s="10" t="s">
        <v>145</v>
      </c>
      <c r="C304" s="10" t="s">
        <v>121</v>
      </c>
      <c r="D304" s="10" t="s">
        <v>3</v>
      </c>
      <c r="E304" s="10" t="s">
        <v>4</v>
      </c>
      <c r="F304" s="10" t="s">
        <v>64</v>
      </c>
      <c r="G304" s="11">
        <v>5</v>
      </c>
      <c r="H304" s="11">
        <v>61</v>
      </c>
      <c r="I304" s="11">
        <v>61</v>
      </c>
      <c r="J304" s="11">
        <v>0</v>
      </c>
      <c r="K304" s="11">
        <v>0</v>
      </c>
      <c r="L304" s="12">
        <v>49.750400808876108</v>
      </c>
      <c r="M304" s="12">
        <v>40.550635830044378</v>
      </c>
      <c r="N304" s="12">
        <v>75.928556663876705</v>
      </c>
      <c r="O304" s="12">
        <v>243.89230050747679</v>
      </c>
      <c r="P304" s="12">
        <v>18.298861892212951</v>
      </c>
      <c r="Q304" s="12">
        <v>486.30823485834298</v>
      </c>
      <c r="R304" s="12">
        <v>58.471997860152648</v>
      </c>
      <c r="S304" s="12">
        <v>1.17530707108837</v>
      </c>
      <c r="T304" s="12">
        <v>18</v>
      </c>
      <c r="U304" s="12">
        <v>4</v>
      </c>
      <c r="V304" s="12">
        <v>3.3888888888888888</v>
      </c>
      <c r="W304" s="12">
        <v>3.3888888888888888</v>
      </c>
      <c r="X304" s="12">
        <v>3.3888888888888888</v>
      </c>
      <c r="Y304" s="12">
        <v>0</v>
      </c>
      <c r="Z304" s="12"/>
      <c r="AA304" s="12"/>
      <c r="AB304" s="11">
        <v>0</v>
      </c>
      <c r="AC304" s="12">
        <v>0</v>
      </c>
      <c r="AD304" s="11">
        <v>3</v>
      </c>
      <c r="AE304" s="13" t="b">
        <v>1</v>
      </c>
      <c r="AF304" s="10" t="s">
        <v>60</v>
      </c>
      <c r="AG304" s="10" t="s">
        <v>61</v>
      </c>
      <c r="AH304" s="12"/>
    </row>
  </sheetData>
  <mergeCells count="3">
    <mergeCell ref="A3:AH3"/>
    <mergeCell ref="A2:AH2"/>
    <mergeCell ref="A1:AH1"/>
  </mergeCells>
  <pageMargins left="0.75" right="0.75" top="1" bottom="1" header="0.5" footer="0.5"/>
  <pageSetup paperSize="8" fitToHeight="0" orientation="landscape"/>
  <headerFooter>
    <oddFooter>&amp;CDEMO | &amp;A | &amp;P / &amp;N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257"/>
  <sheetViews>
    <sheetView showGridLines="0"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0" width="26" customWidth="1"/>
    <col min="11" max="11" width="42" customWidth="1"/>
    <col min="12" max="15" width="26" customWidth="1"/>
  </cols>
  <sheetData>
    <row r="1" spans="1:15" ht="33.950000000000003" customHeight="1" x14ac:dyDescent="0.25">
      <c r="A1" s="25" t="s">
        <v>146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15" ht="30" customHeight="1" x14ac:dyDescent="0.25">
      <c r="A2" s="21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</row>
    <row r="3" spans="1:15" ht="30" customHeight="1" x14ac:dyDescent="0.25">
      <c r="A3" s="26" t="s">
        <v>147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</row>
    <row r="5" spans="1:15" ht="36" customHeight="1" x14ac:dyDescent="0.25">
      <c r="A5" s="2" t="s">
        <v>22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148</v>
      </c>
      <c r="G5" s="2" t="s">
        <v>149</v>
      </c>
      <c r="H5" s="2" t="s">
        <v>150</v>
      </c>
      <c r="I5" s="2" t="s">
        <v>151</v>
      </c>
      <c r="J5" s="2" t="s">
        <v>152</v>
      </c>
      <c r="K5" s="2" t="s">
        <v>153</v>
      </c>
      <c r="L5" s="2" t="s">
        <v>154</v>
      </c>
      <c r="M5" s="2" t="s">
        <v>53</v>
      </c>
      <c r="N5" s="2" t="s">
        <v>155</v>
      </c>
      <c r="O5" s="2" t="s">
        <v>156</v>
      </c>
    </row>
    <row r="6" spans="1:15" ht="32.1" customHeight="1" x14ac:dyDescent="0.25">
      <c r="A6" s="10" t="s">
        <v>56</v>
      </c>
      <c r="B6" s="10" t="s">
        <v>58</v>
      </c>
      <c r="C6" s="10" t="s">
        <v>59</v>
      </c>
      <c r="D6" s="10" t="s">
        <v>59</v>
      </c>
      <c r="E6" s="10" t="s">
        <v>5</v>
      </c>
      <c r="F6" s="10" t="s">
        <v>34</v>
      </c>
      <c r="G6" s="12">
        <v>55.047129366907562</v>
      </c>
      <c r="H6" s="12">
        <v>50.4482504687195</v>
      </c>
      <c r="I6" s="12">
        <v>59.646008265095588</v>
      </c>
      <c r="J6" s="11">
        <v>5</v>
      </c>
      <c r="K6" s="10" t="s">
        <v>157</v>
      </c>
      <c r="L6" s="11">
        <v>2000</v>
      </c>
      <c r="M6" s="10" t="s">
        <v>158</v>
      </c>
      <c r="N6" s="11">
        <v>4150</v>
      </c>
      <c r="O6" s="10" t="s">
        <v>159</v>
      </c>
    </row>
    <row r="7" spans="1:15" ht="32.1" customHeight="1" x14ac:dyDescent="0.25">
      <c r="A7" s="10" t="s">
        <v>56</v>
      </c>
      <c r="B7" s="10" t="s">
        <v>58</v>
      </c>
      <c r="C7" s="10" t="s">
        <v>59</v>
      </c>
      <c r="D7" s="10" t="s">
        <v>59</v>
      </c>
      <c r="E7" s="10" t="s">
        <v>5</v>
      </c>
      <c r="F7" s="10" t="s">
        <v>35</v>
      </c>
      <c r="G7" s="12">
        <v>161.3209302704671</v>
      </c>
      <c r="H7" s="12">
        <v>146.8279845158724</v>
      </c>
      <c r="I7" s="12">
        <v>173.80085792997511</v>
      </c>
      <c r="J7" s="11">
        <v>5</v>
      </c>
      <c r="K7" s="10" t="s">
        <v>157</v>
      </c>
      <c r="L7" s="11">
        <v>2000</v>
      </c>
      <c r="M7" s="10" t="s">
        <v>158</v>
      </c>
      <c r="N7" s="11">
        <v>4150</v>
      </c>
      <c r="O7" s="10" t="s">
        <v>159</v>
      </c>
    </row>
    <row r="8" spans="1:15" ht="32.1" customHeight="1" x14ac:dyDescent="0.25">
      <c r="A8" s="10" t="s">
        <v>56</v>
      </c>
      <c r="B8" s="10" t="s">
        <v>58</v>
      </c>
      <c r="C8" s="10" t="s">
        <v>59</v>
      </c>
      <c r="D8" s="10" t="s">
        <v>59</v>
      </c>
      <c r="E8" s="10" t="s">
        <v>5</v>
      </c>
      <c r="F8" s="10" t="s">
        <v>36</v>
      </c>
      <c r="G8" s="12">
        <v>282.86059502552172</v>
      </c>
      <c r="H8" s="12">
        <v>250.5592491421626</v>
      </c>
      <c r="I8" s="12">
        <v>323.85078938305833</v>
      </c>
      <c r="J8" s="11">
        <v>5</v>
      </c>
      <c r="K8" s="10" t="s">
        <v>157</v>
      </c>
      <c r="L8" s="11">
        <v>2000</v>
      </c>
      <c r="M8" s="10" t="s">
        <v>158</v>
      </c>
      <c r="N8" s="11">
        <v>4150</v>
      </c>
      <c r="O8" s="10" t="s">
        <v>159</v>
      </c>
    </row>
    <row r="9" spans="1:15" ht="32.1" customHeight="1" x14ac:dyDescent="0.25">
      <c r="A9" s="10" t="s">
        <v>56</v>
      </c>
      <c r="B9" s="10" t="s">
        <v>58</v>
      </c>
      <c r="C9" s="10" t="s">
        <v>59</v>
      </c>
      <c r="D9" s="10" t="s">
        <v>59</v>
      </c>
      <c r="E9" s="10" t="s">
        <v>5</v>
      </c>
      <c r="F9" s="10" t="s">
        <v>33</v>
      </c>
      <c r="G9" s="12">
        <v>70.972941734686827</v>
      </c>
      <c r="H9" s="12">
        <v>65.130258446846227</v>
      </c>
      <c r="I9" s="12">
        <v>76.38841472826148</v>
      </c>
      <c r="J9" s="11">
        <v>5</v>
      </c>
      <c r="K9" s="10" t="s">
        <v>157</v>
      </c>
      <c r="L9" s="11">
        <v>2000</v>
      </c>
      <c r="M9" s="10" t="s">
        <v>158</v>
      </c>
      <c r="N9" s="11">
        <v>4150</v>
      </c>
      <c r="O9" s="10" t="s">
        <v>159</v>
      </c>
    </row>
    <row r="10" spans="1:15" ht="32.1" customHeight="1" x14ac:dyDescent="0.25">
      <c r="A10" s="10" t="s">
        <v>56</v>
      </c>
      <c r="B10" s="10" t="s">
        <v>58</v>
      </c>
      <c r="C10" s="10" t="s">
        <v>59</v>
      </c>
      <c r="D10" s="10" t="s">
        <v>59</v>
      </c>
      <c r="E10" s="10" t="s">
        <v>5</v>
      </c>
      <c r="F10" s="10" t="s">
        <v>43</v>
      </c>
      <c r="G10" s="12">
        <v>41.5</v>
      </c>
      <c r="H10" s="12">
        <v>41.5</v>
      </c>
      <c r="I10" s="12">
        <v>41.5</v>
      </c>
      <c r="J10" s="11">
        <v>5</v>
      </c>
      <c r="K10" s="10" t="s">
        <v>157</v>
      </c>
      <c r="L10" s="11">
        <v>2000</v>
      </c>
      <c r="M10" s="10" t="s">
        <v>158</v>
      </c>
      <c r="N10" s="11">
        <v>4150</v>
      </c>
      <c r="O10" s="10" t="s">
        <v>159</v>
      </c>
    </row>
    <row r="11" spans="1:15" ht="32.1" customHeight="1" x14ac:dyDescent="0.25">
      <c r="A11" s="10" t="s">
        <v>56</v>
      </c>
      <c r="B11" s="10" t="s">
        <v>58</v>
      </c>
      <c r="C11" s="10" t="s">
        <v>59</v>
      </c>
      <c r="D11" s="10" t="s">
        <v>59</v>
      </c>
      <c r="E11" s="10" t="s">
        <v>5</v>
      </c>
      <c r="F11" s="10" t="s">
        <v>46</v>
      </c>
      <c r="G11" s="12">
        <v>1.2530120481927709</v>
      </c>
      <c r="H11" s="12">
        <v>0.89156626506024106</v>
      </c>
      <c r="I11" s="12">
        <v>1.6144578313253011</v>
      </c>
      <c r="J11" s="11">
        <v>5</v>
      </c>
      <c r="K11" s="10" t="s">
        <v>157</v>
      </c>
      <c r="L11" s="11">
        <v>2000</v>
      </c>
      <c r="M11" s="10" t="s">
        <v>158</v>
      </c>
      <c r="N11" s="11">
        <v>4150</v>
      </c>
      <c r="O11" s="10" t="s">
        <v>159</v>
      </c>
    </row>
    <row r="12" spans="1:15" ht="32.1" customHeight="1" x14ac:dyDescent="0.25">
      <c r="A12" s="10" t="s">
        <v>56</v>
      </c>
      <c r="B12" s="10" t="s">
        <v>58</v>
      </c>
      <c r="C12" s="10" t="s">
        <v>59</v>
      </c>
      <c r="D12" s="10" t="s">
        <v>59</v>
      </c>
      <c r="E12" s="10" t="s">
        <v>62</v>
      </c>
      <c r="F12" s="10" t="s">
        <v>34</v>
      </c>
      <c r="G12" s="12">
        <v>148.6694994866366</v>
      </c>
      <c r="H12" s="12">
        <v>135.37977067494211</v>
      </c>
      <c r="I12" s="12">
        <v>162.46403805189391</v>
      </c>
      <c r="J12" s="11">
        <v>5</v>
      </c>
      <c r="K12" s="10" t="s">
        <v>157</v>
      </c>
      <c r="L12" s="11">
        <v>2000</v>
      </c>
      <c r="M12" s="10" t="s">
        <v>158</v>
      </c>
      <c r="N12" s="11">
        <v>431</v>
      </c>
      <c r="O12" s="10" t="s">
        <v>159</v>
      </c>
    </row>
    <row r="13" spans="1:15" ht="32.1" customHeight="1" x14ac:dyDescent="0.25">
      <c r="A13" s="10" t="s">
        <v>56</v>
      </c>
      <c r="B13" s="10" t="s">
        <v>58</v>
      </c>
      <c r="C13" s="10" t="s">
        <v>59</v>
      </c>
      <c r="D13" s="10" t="s">
        <v>59</v>
      </c>
      <c r="E13" s="10" t="s">
        <v>62</v>
      </c>
      <c r="F13" s="10" t="s">
        <v>35</v>
      </c>
      <c r="G13" s="12">
        <v>289.71741825914802</v>
      </c>
      <c r="H13" s="12">
        <v>265.40263942591082</v>
      </c>
      <c r="I13" s="12">
        <v>326.64157583421559</v>
      </c>
      <c r="J13" s="11">
        <v>5</v>
      </c>
      <c r="K13" s="10" t="s">
        <v>157</v>
      </c>
      <c r="L13" s="11">
        <v>2000</v>
      </c>
      <c r="M13" s="10" t="s">
        <v>158</v>
      </c>
      <c r="N13" s="11">
        <v>431</v>
      </c>
      <c r="O13" s="10" t="s">
        <v>159</v>
      </c>
    </row>
    <row r="14" spans="1:15" ht="32.1" customHeight="1" x14ac:dyDescent="0.25">
      <c r="A14" s="10" t="s">
        <v>56</v>
      </c>
      <c r="B14" s="10" t="s">
        <v>58</v>
      </c>
      <c r="C14" s="10" t="s">
        <v>59</v>
      </c>
      <c r="D14" s="10" t="s">
        <v>59</v>
      </c>
      <c r="E14" s="10" t="s">
        <v>62</v>
      </c>
      <c r="F14" s="10" t="s">
        <v>36</v>
      </c>
      <c r="G14" s="12">
        <v>428.63567154867673</v>
      </c>
      <c r="H14" s="12">
        <v>365.398871437271</v>
      </c>
      <c r="I14" s="12">
        <v>514.04610579066366</v>
      </c>
      <c r="J14" s="11">
        <v>5</v>
      </c>
      <c r="K14" s="10" t="s">
        <v>157</v>
      </c>
      <c r="L14" s="11">
        <v>2000</v>
      </c>
      <c r="M14" s="10" t="s">
        <v>158</v>
      </c>
      <c r="N14" s="11">
        <v>431</v>
      </c>
      <c r="O14" s="10" t="s">
        <v>159</v>
      </c>
    </row>
    <row r="15" spans="1:15" ht="32.1" customHeight="1" x14ac:dyDescent="0.25">
      <c r="A15" s="10" t="s">
        <v>56</v>
      </c>
      <c r="B15" s="10" t="s">
        <v>58</v>
      </c>
      <c r="C15" s="10" t="s">
        <v>59</v>
      </c>
      <c r="D15" s="10" t="s">
        <v>59</v>
      </c>
      <c r="E15" s="10" t="s">
        <v>62</v>
      </c>
      <c r="F15" s="10" t="s">
        <v>33</v>
      </c>
      <c r="G15" s="12">
        <v>167.33933048580931</v>
      </c>
      <c r="H15" s="12">
        <v>153.495545148079</v>
      </c>
      <c r="I15" s="12">
        <v>183.16747073629469</v>
      </c>
      <c r="J15" s="11">
        <v>5</v>
      </c>
      <c r="K15" s="10" t="s">
        <v>157</v>
      </c>
      <c r="L15" s="11">
        <v>2000</v>
      </c>
      <c r="M15" s="10" t="s">
        <v>158</v>
      </c>
      <c r="N15" s="11">
        <v>431</v>
      </c>
      <c r="O15" s="10" t="s">
        <v>159</v>
      </c>
    </row>
    <row r="16" spans="1:15" ht="32.1" customHeight="1" x14ac:dyDescent="0.25">
      <c r="A16" s="10" t="s">
        <v>56</v>
      </c>
      <c r="B16" s="10" t="s">
        <v>58</v>
      </c>
      <c r="C16" s="10" t="s">
        <v>59</v>
      </c>
      <c r="D16" s="10" t="s">
        <v>59</v>
      </c>
      <c r="E16" s="10" t="s">
        <v>62</v>
      </c>
      <c r="F16" s="10" t="s">
        <v>43</v>
      </c>
      <c r="G16" s="12">
        <v>4.3099999999999996</v>
      </c>
      <c r="H16" s="12">
        <v>4.0599999999999996</v>
      </c>
      <c r="I16" s="12">
        <v>4.6100000000000003</v>
      </c>
      <c r="J16" s="11">
        <v>5</v>
      </c>
      <c r="K16" s="10" t="s">
        <v>157</v>
      </c>
      <c r="L16" s="11">
        <v>2000</v>
      </c>
      <c r="M16" s="10" t="s">
        <v>158</v>
      </c>
      <c r="N16" s="11">
        <v>431</v>
      </c>
      <c r="O16" s="10" t="s">
        <v>159</v>
      </c>
    </row>
    <row r="17" spans="1:15" ht="32.1" customHeight="1" x14ac:dyDescent="0.25">
      <c r="A17" s="10" t="s">
        <v>56</v>
      </c>
      <c r="B17" s="10" t="s">
        <v>58</v>
      </c>
      <c r="C17" s="10" t="s">
        <v>59</v>
      </c>
      <c r="D17" s="10" t="s">
        <v>59</v>
      </c>
      <c r="E17" s="10" t="s">
        <v>62</v>
      </c>
      <c r="F17" s="10" t="s">
        <v>46</v>
      </c>
      <c r="G17" s="12">
        <v>1.3882471277049591</v>
      </c>
      <c r="H17" s="12">
        <v>1.119505494505495</v>
      </c>
      <c r="I17" s="12">
        <v>1.812392426850258</v>
      </c>
      <c r="J17" s="11">
        <v>5</v>
      </c>
      <c r="K17" s="10" t="s">
        <v>157</v>
      </c>
      <c r="L17" s="11">
        <v>2000</v>
      </c>
      <c r="M17" s="10" t="s">
        <v>158</v>
      </c>
      <c r="N17" s="11">
        <v>431</v>
      </c>
      <c r="O17" s="10" t="s">
        <v>159</v>
      </c>
    </row>
    <row r="18" spans="1:15" ht="32.1" customHeight="1" x14ac:dyDescent="0.25">
      <c r="A18" s="10" t="s">
        <v>56</v>
      </c>
      <c r="B18" s="10" t="s">
        <v>58</v>
      </c>
      <c r="C18" s="10" t="s">
        <v>59</v>
      </c>
      <c r="D18" s="10" t="s">
        <v>59</v>
      </c>
      <c r="E18" s="10" t="s">
        <v>63</v>
      </c>
      <c r="F18" s="10" t="s">
        <v>34</v>
      </c>
      <c r="G18" s="12">
        <v>47.308558710709882</v>
      </c>
      <c r="H18" s="12">
        <v>42.944445354546687</v>
      </c>
      <c r="I18" s="12">
        <v>51.672672066873062</v>
      </c>
      <c r="J18" s="11">
        <v>5</v>
      </c>
      <c r="K18" s="10" t="s">
        <v>157</v>
      </c>
      <c r="L18" s="11">
        <v>2000</v>
      </c>
      <c r="M18" s="10" t="s">
        <v>158</v>
      </c>
      <c r="N18" s="11">
        <v>2900</v>
      </c>
      <c r="O18" s="10" t="s">
        <v>159</v>
      </c>
    </row>
    <row r="19" spans="1:15" ht="32.1" customHeight="1" x14ac:dyDescent="0.25">
      <c r="A19" s="10" t="s">
        <v>56</v>
      </c>
      <c r="B19" s="10" t="s">
        <v>58</v>
      </c>
      <c r="C19" s="10" t="s">
        <v>59</v>
      </c>
      <c r="D19" s="10" t="s">
        <v>59</v>
      </c>
      <c r="E19" s="10" t="s">
        <v>63</v>
      </c>
      <c r="F19" s="10" t="s">
        <v>35</v>
      </c>
      <c r="G19" s="12">
        <v>94.318077762559625</v>
      </c>
      <c r="H19" s="12">
        <v>85.433770584877522</v>
      </c>
      <c r="I19" s="12">
        <v>102.1117405716316</v>
      </c>
      <c r="J19" s="11">
        <v>5</v>
      </c>
      <c r="K19" s="10" t="s">
        <v>157</v>
      </c>
      <c r="L19" s="11">
        <v>2000</v>
      </c>
      <c r="M19" s="10" t="s">
        <v>158</v>
      </c>
      <c r="N19" s="11">
        <v>2900</v>
      </c>
      <c r="O19" s="10" t="s">
        <v>159</v>
      </c>
    </row>
    <row r="20" spans="1:15" ht="32.1" customHeight="1" x14ac:dyDescent="0.25">
      <c r="A20" s="10" t="s">
        <v>56</v>
      </c>
      <c r="B20" s="10" t="s">
        <v>58</v>
      </c>
      <c r="C20" s="10" t="s">
        <v>59</v>
      </c>
      <c r="D20" s="10" t="s">
        <v>59</v>
      </c>
      <c r="E20" s="10" t="s">
        <v>63</v>
      </c>
      <c r="F20" s="10" t="s">
        <v>36</v>
      </c>
      <c r="G20" s="12">
        <v>145.2841747226604</v>
      </c>
      <c r="H20" s="12">
        <v>110.1869477180495</v>
      </c>
      <c r="I20" s="12">
        <v>198.94375911135529</v>
      </c>
      <c r="J20" s="11">
        <v>5</v>
      </c>
      <c r="K20" s="10" t="s">
        <v>157</v>
      </c>
      <c r="L20" s="11">
        <v>2000</v>
      </c>
      <c r="M20" s="10" t="s">
        <v>158</v>
      </c>
      <c r="N20" s="11">
        <v>2900</v>
      </c>
      <c r="O20" s="10" t="s">
        <v>159</v>
      </c>
    </row>
    <row r="21" spans="1:15" ht="32.1" customHeight="1" x14ac:dyDescent="0.25">
      <c r="A21" s="10" t="s">
        <v>56</v>
      </c>
      <c r="B21" s="10" t="s">
        <v>58</v>
      </c>
      <c r="C21" s="10" t="s">
        <v>59</v>
      </c>
      <c r="D21" s="10" t="s">
        <v>59</v>
      </c>
      <c r="E21" s="10" t="s">
        <v>63</v>
      </c>
      <c r="F21" s="10" t="s">
        <v>33</v>
      </c>
      <c r="G21" s="12">
        <v>54.450380961357382</v>
      </c>
      <c r="H21" s="12">
        <v>49.399143314821998</v>
      </c>
      <c r="I21" s="12">
        <v>59.501618607892759</v>
      </c>
      <c r="J21" s="11">
        <v>5</v>
      </c>
      <c r="K21" s="10" t="s">
        <v>157</v>
      </c>
      <c r="L21" s="11">
        <v>2000</v>
      </c>
      <c r="M21" s="10" t="s">
        <v>158</v>
      </c>
      <c r="N21" s="11">
        <v>2900</v>
      </c>
      <c r="O21" s="10" t="s">
        <v>159</v>
      </c>
    </row>
    <row r="22" spans="1:15" ht="32.1" customHeight="1" x14ac:dyDescent="0.25">
      <c r="A22" s="10" t="s">
        <v>56</v>
      </c>
      <c r="B22" s="10" t="s">
        <v>58</v>
      </c>
      <c r="C22" s="10" t="s">
        <v>59</v>
      </c>
      <c r="D22" s="10" t="s">
        <v>59</v>
      </c>
      <c r="E22" s="10" t="s">
        <v>63</v>
      </c>
      <c r="F22" s="10" t="s">
        <v>43</v>
      </c>
      <c r="G22" s="12">
        <v>29</v>
      </c>
      <c r="H22" s="12">
        <v>28.59</v>
      </c>
      <c r="I22" s="12">
        <v>29.51</v>
      </c>
      <c r="J22" s="11">
        <v>5</v>
      </c>
      <c r="K22" s="10" t="s">
        <v>157</v>
      </c>
      <c r="L22" s="11">
        <v>2000</v>
      </c>
      <c r="M22" s="10" t="s">
        <v>158</v>
      </c>
      <c r="N22" s="11">
        <v>2900</v>
      </c>
      <c r="O22" s="10" t="s">
        <v>159</v>
      </c>
    </row>
    <row r="23" spans="1:15" ht="32.1" customHeight="1" x14ac:dyDescent="0.25">
      <c r="A23" s="10" t="s">
        <v>56</v>
      </c>
      <c r="B23" s="10" t="s">
        <v>58</v>
      </c>
      <c r="C23" s="10" t="s">
        <v>59</v>
      </c>
      <c r="D23" s="10" t="s">
        <v>59</v>
      </c>
      <c r="E23" s="10" t="s">
        <v>63</v>
      </c>
      <c r="F23" s="10" t="s">
        <v>46</v>
      </c>
      <c r="G23" s="12">
        <v>1.1079114954668581</v>
      </c>
      <c r="H23" s="12">
        <v>0.72304713995671421</v>
      </c>
      <c r="I23" s="12">
        <v>1.5089532167881661</v>
      </c>
      <c r="J23" s="11">
        <v>5</v>
      </c>
      <c r="K23" s="10" t="s">
        <v>157</v>
      </c>
      <c r="L23" s="11">
        <v>2000</v>
      </c>
      <c r="M23" s="10" t="s">
        <v>158</v>
      </c>
      <c r="N23" s="11">
        <v>2900</v>
      </c>
      <c r="O23" s="10" t="s">
        <v>159</v>
      </c>
    </row>
    <row r="24" spans="1:15" ht="32.1" customHeight="1" x14ac:dyDescent="0.25">
      <c r="A24" s="10" t="s">
        <v>56</v>
      </c>
      <c r="B24" s="10" t="s">
        <v>58</v>
      </c>
      <c r="C24" s="10" t="s">
        <v>59</v>
      </c>
      <c r="D24" s="10" t="s">
        <v>59</v>
      </c>
      <c r="E24" s="10" t="s">
        <v>64</v>
      </c>
      <c r="F24" s="10" t="s">
        <v>34</v>
      </c>
      <c r="G24" s="12">
        <v>71.834171213470356</v>
      </c>
      <c r="H24" s="12">
        <v>65.472751852043217</v>
      </c>
      <c r="I24" s="12">
        <v>77.680887119711272</v>
      </c>
      <c r="J24" s="11">
        <v>5</v>
      </c>
      <c r="K24" s="10" t="s">
        <v>157</v>
      </c>
      <c r="L24" s="11">
        <v>2000</v>
      </c>
      <c r="M24" s="10" t="s">
        <v>158</v>
      </c>
      <c r="N24" s="11">
        <v>819</v>
      </c>
      <c r="O24" s="10" t="s">
        <v>159</v>
      </c>
    </row>
    <row r="25" spans="1:15" ht="32.1" customHeight="1" x14ac:dyDescent="0.25">
      <c r="A25" s="10" t="s">
        <v>56</v>
      </c>
      <c r="B25" s="10" t="s">
        <v>58</v>
      </c>
      <c r="C25" s="10" t="s">
        <v>59</v>
      </c>
      <c r="D25" s="10" t="s">
        <v>59</v>
      </c>
      <c r="E25" s="10" t="s">
        <v>64</v>
      </c>
      <c r="F25" s="10" t="s">
        <v>35</v>
      </c>
      <c r="G25" s="12">
        <v>139.5285245223956</v>
      </c>
      <c r="H25" s="12">
        <v>129.27429734522579</v>
      </c>
      <c r="I25" s="12">
        <v>150.62591403022321</v>
      </c>
      <c r="J25" s="11">
        <v>5</v>
      </c>
      <c r="K25" s="10" t="s">
        <v>157</v>
      </c>
      <c r="L25" s="11">
        <v>2000</v>
      </c>
      <c r="M25" s="10" t="s">
        <v>158</v>
      </c>
      <c r="N25" s="11">
        <v>819</v>
      </c>
      <c r="O25" s="10" t="s">
        <v>159</v>
      </c>
    </row>
    <row r="26" spans="1:15" ht="32.1" customHeight="1" x14ac:dyDescent="0.25">
      <c r="A26" s="10" t="s">
        <v>56</v>
      </c>
      <c r="B26" s="10" t="s">
        <v>58</v>
      </c>
      <c r="C26" s="10" t="s">
        <v>59</v>
      </c>
      <c r="D26" s="10" t="s">
        <v>59</v>
      </c>
      <c r="E26" s="10" t="s">
        <v>64</v>
      </c>
      <c r="F26" s="10" t="s">
        <v>36</v>
      </c>
      <c r="G26" s="12">
        <v>186.6852574631138</v>
      </c>
      <c r="H26" s="12">
        <v>175.86195501743001</v>
      </c>
      <c r="I26" s="12">
        <v>197.50855990879759</v>
      </c>
      <c r="J26" s="11">
        <v>5</v>
      </c>
      <c r="K26" s="10" t="s">
        <v>157</v>
      </c>
      <c r="L26" s="11">
        <v>2000</v>
      </c>
      <c r="M26" s="10" t="s">
        <v>158</v>
      </c>
      <c r="N26" s="11">
        <v>819</v>
      </c>
      <c r="O26" s="10" t="s">
        <v>159</v>
      </c>
    </row>
    <row r="27" spans="1:15" ht="32.1" customHeight="1" x14ac:dyDescent="0.25">
      <c r="A27" s="10" t="s">
        <v>56</v>
      </c>
      <c r="B27" s="10" t="s">
        <v>58</v>
      </c>
      <c r="C27" s="10" t="s">
        <v>59</v>
      </c>
      <c r="D27" s="10" t="s">
        <v>59</v>
      </c>
      <c r="E27" s="10" t="s">
        <v>64</v>
      </c>
      <c r="F27" s="10" t="s">
        <v>33</v>
      </c>
      <c r="G27" s="12">
        <v>79.21448745594671</v>
      </c>
      <c r="H27" s="12">
        <v>71.621911069687371</v>
      </c>
      <c r="I27" s="12">
        <v>86.798068980313658</v>
      </c>
      <c r="J27" s="11">
        <v>5</v>
      </c>
      <c r="K27" s="10" t="s">
        <v>157</v>
      </c>
      <c r="L27" s="11">
        <v>2000</v>
      </c>
      <c r="M27" s="10" t="s">
        <v>158</v>
      </c>
      <c r="N27" s="11">
        <v>819</v>
      </c>
      <c r="O27" s="10" t="s">
        <v>159</v>
      </c>
    </row>
    <row r="28" spans="1:15" ht="32.1" customHeight="1" x14ac:dyDescent="0.25">
      <c r="A28" s="10" t="s">
        <v>56</v>
      </c>
      <c r="B28" s="10" t="s">
        <v>58</v>
      </c>
      <c r="C28" s="10" t="s">
        <v>59</v>
      </c>
      <c r="D28" s="10" t="s">
        <v>59</v>
      </c>
      <c r="E28" s="10" t="s">
        <v>64</v>
      </c>
      <c r="F28" s="10" t="s">
        <v>43</v>
      </c>
      <c r="G28" s="12">
        <v>8.1900000000000013</v>
      </c>
      <c r="H28" s="12">
        <v>7.9099999999999993</v>
      </c>
      <c r="I28" s="12">
        <v>8.4700000000000006</v>
      </c>
      <c r="J28" s="11">
        <v>5</v>
      </c>
      <c r="K28" s="10" t="s">
        <v>157</v>
      </c>
      <c r="L28" s="11">
        <v>2000</v>
      </c>
      <c r="M28" s="10" t="s">
        <v>158</v>
      </c>
      <c r="N28" s="11">
        <v>819</v>
      </c>
      <c r="O28" s="10" t="s">
        <v>159</v>
      </c>
    </row>
    <row r="29" spans="1:15" ht="32.1" customHeight="1" x14ac:dyDescent="0.25">
      <c r="A29" s="10" t="s">
        <v>56</v>
      </c>
      <c r="B29" s="10" t="s">
        <v>58</v>
      </c>
      <c r="C29" s="10" t="s">
        <v>59</v>
      </c>
      <c r="D29" s="10" t="s">
        <v>59</v>
      </c>
      <c r="E29" s="10" t="s">
        <v>64</v>
      </c>
      <c r="F29" s="10" t="s">
        <v>46</v>
      </c>
      <c r="G29" s="12">
        <v>1.685335596457685</v>
      </c>
      <c r="H29" s="12">
        <v>1.0097675816469649</v>
      </c>
      <c r="I29" s="12">
        <v>2.3532231742146061</v>
      </c>
      <c r="J29" s="11">
        <v>5</v>
      </c>
      <c r="K29" s="10" t="s">
        <v>157</v>
      </c>
      <c r="L29" s="11">
        <v>2000</v>
      </c>
      <c r="M29" s="10" t="s">
        <v>158</v>
      </c>
      <c r="N29" s="11">
        <v>819</v>
      </c>
      <c r="O29" s="10" t="s">
        <v>159</v>
      </c>
    </row>
    <row r="30" spans="1:15" ht="32.1" customHeight="1" x14ac:dyDescent="0.25">
      <c r="A30" s="10" t="s">
        <v>56</v>
      </c>
      <c r="B30" s="10" t="s">
        <v>58</v>
      </c>
      <c r="C30" s="10" t="s">
        <v>3</v>
      </c>
      <c r="D30" s="10" t="s">
        <v>77</v>
      </c>
      <c r="E30" s="10" t="s">
        <v>5</v>
      </c>
      <c r="F30" s="10" t="s">
        <v>34</v>
      </c>
      <c r="G30" s="12">
        <v>41.948595991673763</v>
      </c>
      <c r="H30" s="12">
        <v>40.246848993461491</v>
      </c>
      <c r="I30" s="12">
        <v>43.002978273322171</v>
      </c>
      <c r="J30" s="11">
        <v>5</v>
      </c>
      <c r="K30" s="10" t="s">
        <v>157</v>
      </c>
      <c r="L30" s="11">
        <v>2000</v>
      </c>
      <c r="M30" s="10" t="s">
        <v>158</v>
      </c>
      <c r="N30" s="11">
        <v>4500</v>
      </c>
      <c r="O30" s="10" t="s">
        <v>159</v>
      </c>
    </row>
    <row r="31" spans="1:15" ht="32.1" customHeight="1" x14ac:dyDescent="0.25">
      <c r="A31" s="10" t="s">
        <v>56</v>
      </c>
      <c r="B31" s="10" t="s">
        <v>58</v>
      </c>
      <c r="C31" s="10" t="s">
        <v>3</v>
      </c>
      <c r="D31" s="10" t="s">
        <v>77</v>
      </c>
      <c r="E31" s="10" t="s">
        <v>5</v>
      </c>
      <c r="F31" s="10" t="s">
        <v>35</v>
      </c>
      <c r="G31" s="12">
        <v>125.8611166039264</v>
      </c>
      <c r="H31" s="12">
        <v>119.744522748677</v>
      </c>
      <c r="I31" s="12">
        <v>131.7528676860077</v>
      </c>
      <c r="J31" s="11">
        <v>5</v>
      </c>
      <c r="K31" s="10" t="s">
        <v>157</v>
      </c>
      <c r="L31" s="11">
        <v>2000</v>
      </c>
      <c r="M31" s="10" t="s">
        <v>158</v>
      </c>
      <c r="N31" s="11">
        <v>4500</v>
      </c>
      <c r="O31" s="10" t="s">
        <v>159</v>
      </c>
    </row>
    <row r="32" spans="1:15" ht="32.1" customHeight="1" x14ac:dyDescent="0.25">
      <c r="A32" s="10" t="s">
        <v>56</v>
      </c>
      <c r="B32" s="10" t="s">
        <v>58</v>
      </c>
      <c r="C32" s="10" t="s">
        <v>3</v>
      </c>
      <c r="D32" s="10" t="s">
        <v>77</v>
      </c>
      <c r="E32" s="10" t="s">
        <v>5</v>
      </c>
      <c r="F32" s="10" t="s">
        <v>36</v>
      </c>
      <c r="G32" s="12">
        <v>206.5470175474747</v>
      </c>
      <c r="H32" s="12">
        <v>180.26137999842641</v>
      </c>
      <c r="I32" s="12">
        <v>236.00405126964549</v>
      </c>
      <c r="J32" s="11">
        <v>5</v>
      </c>
      <c r="K32" s="10" t="s">
        <v>157</v>
      </c>
      <c r="L32" s="11">
        <v>2000</v>
      </c>
      <c r="M32" s="10" t="s">
        <v>158</v>
      </c>
      <c r="N32" s="11">
        <v>4500</v>
      </c>
      <c r="O32" s="10" t="s">
        <v>159</v>
      </c>
    </row>
    <row r="33" spans="1:15" ht="32.1" customHeight="1" x14ac:dyDescent="0.25">
      <c r="A33" s="10" t="s">
        <v>56</v>
      </c>
      <c r="B33" s="10" t="s">
        <v>58</v>
      </c>
      <c r="C33" s="10" t="s">
        <v>3</v>
      </c>
      <c r="D33" s="10" t="s">
        <v>77</v>
      </c>
      <c r="E33" s="10" t="s">
        <v>5</v>
      </c>
      <c r="F33" s="10" t="s">
        <v>33</v>
      </c>
      <c r="G33" s="12">
        <v>54.65943190411673</v>
      </c>
      <c r="H33" s="12">
        <v>51.760606005416811</v>
      </c>
      <c r="I33" s="12">
        <v>57.877273771977478</v>
      </c>
      <c r="J33" s="11">
        <v>5</v>
      </c>
      <c r="K33" s="10" t="s">
        <v>157</v>
      </c>
      <c r="L33" s="11">
        <v>2000</v>
      </c>
      <c r="M33" s="10" t="s">
        <v>158</v>
      </c>
      <c r="N33" s="11">
        <v>4500</v>
      </c>
      <c r="O33" s="10" t="s">
        <v>159</v>
      </c>
    </row>
    <row r="34" spans="1:15" ht="32.1" customHeight="1" x14ac:dyDescent="0.25">
      <c r="A34" s="10" t="s">
        <v>56</v>
      </c>
      <c r="B34" s="10" t="s">
        <v>58</v>
      </c>
      <c r="C34" s="10" t="s">
        <v>3</v>
      </c>
      <c r="D34" s="10" t="s">
        <v>77</v>
      </c>
      <c r="E34" s="10" t="s">
        <v>5</v>
      </c>
      <c r="F34" s="10" t="s">
        <v>43</v>
      </c>
      <c r="G34" s="12">
        <v>49.86666666666666</v>
      </c>
      <c r="H34" s="12">
        <v>49.811111111111117</v>
      </c>
      <c r="I34" s="12">
        <v>49.922222222222231</v>
      </c>
      <c r="J34" s="11">
        <v>5</v>
      </c>
      <c r="K34" s="10" t="s">
        <v>157</v>
      </c>
      <c r="L34" s="11">
        <v>2000</v>
      </c>
      <c r="M34" s="10" t="s">
        <v>158</v>
      </c>
      <c r="N34" s="11">
        <v>4500</v>
      </c>
      <c r="O34" s="10" t="s">
        <v>159</v>
      </c>
    </row>
    <row r="35" spans="1:15" ht="32.1" customHeight="1" x14ac:dyDescent="0.25">
      <c r="A35" s="10" t="s">
        <v>56</v>
      </c>
      <c r="B35" s="10" t="s">
        <v>58</v>
      </c>
      <c r="C35" s="10" t="s">
        <v>3</v>
      </c>
      <c r="D35" s="10" t="s">
        <v>77</v>
      </c>
      <c r="E35" s="10" t="s">
        <v>5</v>
      </c>
      <c r="F35" s="10" t="s">
        <v>46</v>
      </c>
      <c r="G35" s="12">
        <v>1.4222222222222221</v>
      </c>
      <c r="H35" s="12">
        <v>0.95499999999999996</v>
      </c>
      <c r="I35" s="12">
        <v>1.8444444444444441</v>
      </c>
      <c r="J35" s="11">
        <v>5</v>
      </c>
      <c r="K35" s="10" t="s">
        <v>157</v>
      </c>
      <c r="L35" s="11">
        <v>2000</v>
      </c>
      <c r="M35" s="10" t="s">
        <v>158</v>
      </c>
      <c r="N35" s="11">
        <v>4500</v>
      </c>
      <c r="O35" s="10" t="s">
        <v>159</v>
      </c>
    </row>
    <row r="36" spans="1:15" ht="32.1" customHeight="1" x14ac:dyDescent="0.25">
      <c r="A36" s="10" t="s">
        <v>56</v>
      </c>
      <c r="B36" s="10" t="s">
        <v>58</v>
      </c>
      <c r="C36" s="10" t="s">
        <v>3</v>
      </c>
      <c r="D36" s="10" t="s">
        <v>77</v>
      </c>
      <c r="E36" s="10" t="s">
        <v>62</v>
      </c>
      <c r="F36" s="10" t="s">
        <v>34</v>
      </c>
      <c r="G36" s="12">
        <v>119.2749335882182</v>
      </c>
      <c r="H36" s="12">
        <v>113.9758622193702</v>
      </c>
      <c r="I36" s="12">
        <v>124.61542384731101</v>
      </c>
      <c r="J36" s="11">
        <v>5</v>
      </c>
      <c r="K36" s="10" t="s">
        <v>157</v>
      </c>
      <c r="L36" s="11">
        <v>2000</v>
      </c>
      <c r="M36" s="10" t="s">
        <v>158</v>
      </c>
      <c r="N36" s="11">
        <v>447</v>
      </c>
      <c r="O36" s="10" t="s">
        <v>159</v>
      </c>
    </row>
    <row r="37" spans="1:15" ht="32.1" customHeight="1" x14ac:dyDescent="0.25">
      <c r="A37" s="10" t="s">
        <v>56</v>
      </c>
      <c r="B37" s="10" t="s">
        <v>58</v>
      </c>
      <c r="C37" s="10" t="s">
        <v>3</v>
      </c>
      <c r="D37" s="10" t="s">
        <v>77</v>
      </c>
      <c r="E37" s="10" t="s">
        <v>62</v>
      </c>
      <c r="F37" s="10" t="s">
        <v>35</v>
      </c>
      <c r="G37" s="12">
        <v>221.47927269460311</v>
      </c>
      <c r="H37" s="12">
        <v>199.3346657632396</v>
      </c>
      <c r="I37" s="12">
        <v>244.1525744006525</v>
      </c>
      <c r="J37" s="11">
        <v>5</v>
      </c>
      <c r="K37" s="10" t="s">
        <v>157</v>
      </c>
      <c r="L37" s="11">
        <v>2000</v>
      </c>
      <c r="M37" s="10" t="s">
        <v>158</v>
      </c>
      <c r="N37" s="11">
        <v>447</v>
      </c>
      <c r="O37" s="10" t="s">
        <v>159</v>
      </c>
    </row>
    <row r="38" spans="1:15" ht="32.1" customHeight="1" x14ac:dyDescent="0.25">
      <c r="A38" s="10" t="s">
        <v>56</v>
      </c>
      <c r="B38" s="10" t="s">
        <v>58</v>
      </c>
      <c r="C38" s="10" t="s">
        <v>3</v>
      </c>
      <c r="D38" s="10" t="s">
        <v>77</v>
      </c>
      <c r="E38" s="10" t="s">
        <v>62</v>
      </c>
      <c r="F38" s="10" t="s">
        <v>36</v>
      </c>
      <c r="G38" s="12">
        <v>398.97725022999691</v>
      </c>
      <c r="H38" s="12">
        <v>239.59125287721491</v>
      </c>
      <c r="I38" s="12">
        <v>655.64261596570555</v>
      </c>
      <c r="J38" s="11">
        <v>5</v>
      </c>
      <c r="K38" s="10" t="s">
        <v>157</v>
      </c>
      <c r="L38" s="11">
        <v>2000</v>
      </c>
      <c r="M38" s="10" t="s">
        <v>158</v>
      </c>
      <c r="N38" s="11">
        <v>447</v>
      </c>
      <c r="O38" s="10" t="s">
        <v>159</v>
      </c>
    </row>
    <row r="39" spans="1:15" ht="32.1" customHeight="1" x14ac:dyDescent="0.25">
      <c r="A39" s="10" t="s">
        <v>56</v>
      </c>
      <c r="B39" s="10" t="s">
        <v>58</v>
      </c>
      <c r="C39" s="10" t="s">
        <v>3</v>
      </c>
      <c r="D39" s="10" t="s">
        <v>77</v>
      </c>
      <c r="E39" s="10" t="s">
        <v>62</v>
      </c>
      <c r="F39" s="10" t="s">
        <v>33</v>
      </c>
      <c r="G39" s="12">
        <v>139.88855308904769</v>
      </c>
      <c r="H39" s="12">
        <v>122.8308029908693</v>
      </c>
      <c r="I39" s="12">
        <v>164.24387024223421</v>
      </c>
      <c r="J39" s="11">
        <v>5</v>
      </c>
      <c r="K39" s="10" t="s">
        <v>157</v>
      </c>
      <c r="L39" s="11">
        <v>2000</v>
      </c>
      <c r="M39" s="10" t="s">
        <v>158</v>
      </c>
      <c r="N39" s="11">
        <v>447</v>
      </c>
      <c r="O39" s="10" t="s">
        <v>159</v>
      </c>
    </row>
    <row r="40" spans="1:15" ht="32.1" customHeight="1" x14ac:dyDescent="0.25">
      <c r="A40" s="10" t="s">
        <v>56</v>
      </c>
      <c r="B40" s="10" t="s">
        <v>58</v>
      </c>
      <c r="C40" s="10" t="s">
        <v>3</v>
      </c>
      <c r="D40" s="10" t="s">
        <v>77</v>
      </c>
      <c r="E40" s="10" t="s">
        <v>62</v>
      </c>
      <c r="F40" s="10" t="s">
        <v>43</v>
      </c>
      <c r="G40" s="12">
        <v>4.9111111111111114</v>
      </c>
      <c r="H40" s="12">
        <v>4.7000000000000011</v>
      </c>
      <c r="I40" s="12">
        <v>5.2666666666666666</v>
      </c>
      <c r="J40" s="11">
        <v>5</v>
      </c>
      <c r="K40" s="10" t="s">
        <v>157</v>
      </c>
      <c r="L40" s="11">
        <v>2000</v>
      </c>
      <c r="M40" s="10" t="s">
        <v>158</v>
      </c>
      <c r="N40" s="11">
        <v>447</v>
      </c>
      <c r="O40" s="10" t="s">
        <v>159</v>
      </c>
    </row>
    <row r="41" spans="1:15" ht="32.1" customHeight="1" x14ac:dyDescent="0.25">
      <c r="A41" s="10" t="s">
        <v>56</v>
      </c>
      <c r="B41" s="10" t="s">
        <v>58</v>
      </c>
      <c r="C41" s="10" t="s">
        <v>3</v>
      </c>
      <c r="D41" s="10" t="s">
        <v>77</v>
      </c>
      <c r="E41" s="10" t="s">
        <v>62</v>
      </c>
      <c r="F41" s="10" t="s">
        <v>46</v>
      </c>
      <c r="G41" s="12">
        <v>1.773379213546294</v>
      </c>
      <c r="H41" s="12">
        <v>0.77669902912621358</v>
      </c>
      <c r="I41" s="12">
        <v>2.7486660626195509</v>
      </c>
      <c r="J41" s="11">
        <v>5</v>
      </c>
      <c r="K41" s="10" t="s">
        <v>157</v>
      </c>
      <c r="L41" s="11">
        <v>2000</v>
      </c>
      <c r="M41" s="10" t="s">
        <v>158</v>
      </c>
      <c r="N41" s="11">
        <v>447</v>
      </c>
      <c r="O41" s="10" t="s">
        <v>159</v>
      </c>
    </row>
    <row r="42" spans="1:15" ht="32.1" customHeight="1" x14ac:dyDescent="0.25">
      <c r="A42" s="10" t="s">
        <v>56</v>
      </c>
      <c r="B42" s="10" t="s">
        <v>58</v>
      </c>
      <c r="C42" s="10" t="s">
        <v>3</v>
      </c>
      <c r="D42" s="10" t="s">
        <v>77</v>
      </c>
      <c r="E42" s="10" t="s">
        <v>63</v>
      </c>
      <c r="F42" s="10" t="s">
        <v>34</v>
      </c>
      <c r="G42" s="12">
        <v>36.04280464630223</v>
      </c>
      <c r="H42" s="12">
        <v>34.606762200426097</v>
      </c>
      <c r="I42" s="12">
        <v>36.837443928619329</v>
      </c>
      <c r="J42" s="11">
        <v>5</v>
      </c>
      <c r="K42" s="10" t="s">
        <v>157</v>
      </c>
      <c r="L42" s="11">
        <v>2000</v>
      </c>
      <c r="M42" s="10" t="s">
        <v>158</v>
      </c>
      <c r="N42" s="11">
        <v>3169</v>
      </c>
      <c r="O42" s="10" t="s">
        <v>159</v>
      </c>
    </row>
    <row r="43" spans="1:15" ht="32.1" customHeight="1" x14ac:dyDescent="0.25">
      <c r="A43" s="10" t="s">
        <v>56</v>
      </c>
      <c r="B43" s="10" t="s">
        <v>58</v>
      </c>
      <c r="C43" s="10" t="s">
        <v>3</v>
      </c>
      <c r="D43" s="10" t="s">
        <v>77</v>
      </c>
      <c r="E43" s="10" t="s">
        <v>63</v>
      </c>
      <c r="F43" s="10" t="s">
        <v>35</v>
      </c>
      <c r="G43" s="12">
        <v>69.646921740560288</v>
      </c>
      <c r="H43" s="12">
        <v>65.781802917376098</v>
      </c>
      <c r="I43" s="12">
        <v>72.73642470311934</v>
      </c>
      <c r="J43" s="11">
        <v>5</v>
      </c>
      <c r="K43" s="10" t="s">
        <v>157</v>
      </c>
      <c r="L43" s="11">
        <v>2000</v>
      </c>
      <c r="M43" s="10" t="s">
        <v>158</v>
      </c>
      <c r="N43" s="11">
        <v>3169</v>
      </c>
      <c r="O43" s="10" t="s">
        <v>159</v>
      </c>
    </row>
    <row r="44" spans="1:15" ht="32.1" customHeight="1" x14ac:dyDescent="0.25">
      <c r="A44" s="10" t="s">
        <v>56</v>
      </c>
      <c r="B44" s="10" t="s">
        <v>58</v>
      </c>
      <c r="C44" s="10" t="s">
        <v>3</v>
      </c>
      <c r="D44" s="10" t="s">
        <v>77</v>
      </c>
      <c r="E44" s="10" t="s">
        <v>63</v>
      </c>
      <c r="F44" s="10" t="s">
        <v>36</v>
      </c>
      <c r="G44" s="12">
        <v>90.777514835301162</v>
      </c>
      <c r="H44" s="12">
        <v>87.713494055919938</v>
      </c>
      <c r="I44" s="12">
        <v>93.818049483316699</v>
      </c>
      <c r="J44" s="11">
        <v>5</v>
      </c>
      <c r="K44" s="10" t="s">
        <v>157</v>
      </c>
      <c r="L44" s="11">
        <v>2000</v>
      </c>
      <c r="M44" s="10" t="s">
        <v>158</v>
      </c>
      <c r="N44" s="11">
        <v>3169</v>
      </c>
      <c r="O44" s="10" t="s">
        <v>159</v>
      </c>
    </row>
    <row r="45" spans="1:15" ht="32.1" customHeight="1" x14ac:dyDescent="0.25">
      <c r="A45" s="10" t="s">
        <v>56</v>
      </c>
      <c r="B45" s="10" t="s">
        <v>58</v>
      </c>
      <c r="C45" s="10" t="s">
        <v>3</v>
      </c>
      <c r="D45" s="10" t="s">
        <v>77</v>
      </c>
      <c r="E45" s="10" t="s">
        <v>63</v>
      </c>
      <c r="F45" s="10" t="s">
        <v>33</v>
      </c>
      <c r="G45" s="12">
        <v>40.863236128714767</v>
      </c>
      <c r="H45" s="12">
        <v>40.164670801634443</v>
      </c>
      <c r="I45" s="12">
        <v>41.696309042966611</v>
      </c>
      <c r="J45" s="11">
        <v>5</v>
      </c>
      <c r="K45" s="10" t="s">
        <v>157</v>
      </c>
      <c r="L45" s="11">
        <v>2000</v>
      </c>
      <c r="M45" s="10" t="s">
        <v>158</v>
      </c>
      <c r="N45" s="11">
        <v>3169</v>
      </c>
      <c r="O45" s="10" t="s">
        <v>159</v>
      </c>
    </row>
    <row r="46" spans="1:15" ht="32.1" customHeight="1" x14ac:dyDescent="0.25">
      <c r="A46" s="10" t="s">
        <v>56</v>
      </c>
      <c r="B46" s="10" t="s">
        <v>58</v>
      </c>
      <c r="C46" s="10" t="s">
        <v>3</v>
      </c>
      <c r="D46" s="10" t="s">
        <v>77</v>
      </c>
      <c r="E46" s="10" t="s">
        <v>63</v>
      </c>
      <c r="F46" s="10" t="s">
        <v>43</v>
      </c>
      <c r="G46" s="12">
        <v>35.166666666666671</v>
      </c>
      <c r="H46" s="12">
        <v>34.488888888888887</v>
      </c>
      <c r="I46" s="12">
        <v>35.811111111111117</v>
      </c>
      <c r="J46" s="11">
        <v>5</v>
      </c>
      <c r="K46" s="10" t="s">
        <v>157</v>
      </c>
      <c r="L46" s="11">
        <v>2000</v>
      </c>
      <c r="M46" s="10" t="s">
        <v>158</v>
      </c>
      <c r="N46" s="11">
        <v>3169</v>
      </c>
      <c r="O46" s="10" t="s">
        <v>159</v>
      </c>
    </row>
    <row r="47" spans="1:15" ht="32.1" customHeight="1" x14ac:dyDescent="0.25">
      <c r="A47" s="10" t="s">
        <v>56</v>
      </c>
      <c r="B47" s="10" t="s">
        <v>58</v>
      </c>
      <c r="C47" s="10" t="s">
        <v>3</v>
      </c>
      <c r="D47" s="10" t="s">
        <v>77</v>
      </c>
      <c r="E47" s="10" t="s">
        <v>63</v>
      </c>
      <c r="F47" s="10" t="s">
        <v>46</v>
      </c>
      <c r="G47" s="12">
        <v>1.287395828328026</v>
      </c>
      <c r="H47" s="12">
        <v>0.75523210533360718</v>
      </c>
      <c r="I47" s="12">
        <v>1.6914849698051979</v>
      </c>
      <c r="J47" s="11">
        <v>5</v>
      </c>
      <c r="K47" s="10" t="s">
        <v>157</v>
      </c>
      <c r="L47" s="11">
        <v>2000</v>
      </c>
      <c r="M47" s="10" t="s">
        <v>158</v>
      </c>
      <c r="N47" s="11">
        <v>3169</v>
      </c>
      <c r="O47" s="10" t="s">
        <v>159</v>
      </c>
    </row>
    <row r="48" spans="1:15" ht="32.1" customHeight="1" x14ac:dyDescent="0.25">
      <c r="A48" s="10" t="s">
        <v>56</v>
      </c>
      <c r="B48" s="10" t="s">
        <v>58</v>
      </c>
      <c r="C48" s="10" t="s">
        <v>3</v>
      </c>
      <c r="D48" s="10" t="s">
        <v>77</v>
      </c>
      <c r="E48" s="10" t="s">
        <v>64</v>
      </c>
      <c r="F48" s="10" t="s">
        <v>34</v>
      </c>
      <c r="G48" s="12">
        <v>56.04638673822997</v>
      </c>
      <c r="H48" s="12">
        <v>54.139512425284558</v>
      </c>
      <c r="I48" s="12">
        <v>57.474214769287443</v>
      </c>
      <c r="J48" s="11">
        <v>5</v>
      </c>
      <c r="K48" s="10" t="s">
        <v>157</v>
      </c>
      <c r="L48" s="11">
        <v>2000</v>
      </c>
      <c r="M48" s="10" t="s">
        <v>158</v>
      </c>
      <c r="N48" s="11">
        <v>884</v>
      </c>
      <c r="O48" s="10" t="s">
        <v>159</v>
      </c>
    </row>
    <row r="49" spans="1:15" ht="32.1" customHeight="1" x14ac:dyDescent="0.25">
      <c r="A49" s="10" t="s">
        <v>56</v>
      </c>
      <c r="B49" s="10" t="s">
        <v>58</v>
      </c>
      <c r="C49" s="10" t="s">
        <v>3</v>
      </c>
      <c r="D49" s="10" t="s">
        <v>77</v>
      </c>
      <c r="E49" s="10" t="s">
        <v>64</v>
      </c>
      <c r="F49" s="10" t="s">
        <v>35</v>
      </c>
      <c r="G49" s="12">
        <v>101.78542001236291</v>
      </c>
      <c r="H49" s="12">
        <v>96.406079684386114</v>
      </c>
      <c r="I49" s="12">
        <v>107.2138597167058</v>
      </c>
      <c r="J49" s="11">
        <v>5</v>
      </c>
      <c r="K49" s="10" t="s">
        <v>157</v>
      </c>
      <c r="L49" s="11">
        <v>2000</v>
      </c>
      <c r="M49" s="10" t="s">
        <v>158</v>
      </c>
      <c r="N49" s="11">
        <v>884</v>
      </c>
      <c r="O49" s="10" t="s">
        <v>159</v>
      </c>
    </row>
    <row r="50" spans="1:15" ht="32.1" customHeight="1" x14ac:dyDescent="0.25">
      <c r="A50" s="10" t="s">
        <v>56</v>
      </c>
      <c r="B50" s="10" t="s">
        <v>58</v>
      </c>
      <c r="C50" s="10" t="s">
        <v>3</v>
      </c>
      <c r="D50" s="10" t="s">
        <v>77</v>
      </c>
      <c r="E50" s="10" t="s">
        <v>64</v>
      </c>
      <c r="F50" s="10" t="s">
        <v>36</v>
      </c>
      <c r="G50" s="12">
        <v>129.5777029113045</v>
      </c>
      <c r="H50" s="12">
        <v>122.43707762790579</v>
      </c>
      <c r="I50" s="12">
        <v>137.4540461512309</v>
      </c>
      <c r="J50" s="11">
        <v>5</v>
      </c>
      <c r="K50" s="10" t="s">
        <v>157</v>
      </c>
      <c r="L50" s="11">
        <v>2000</v>
      </c>
      <c r="M50" s="10" t="s">
        <v>158</v>
      </c>
      <c r="N50" s="11">
        <v>884</v>
      </c>
      <c r="O50" s="10" t="s">
        <v>159</v>
      </c>
    </row>
    <row r="51" spans="1:15" ht="32.1" customHeight="1" x14ac:dyDescent="0.25">
      <c r="A51" s="10" t="s">
        <v>56</v>
      </c>
      <c r="B51" s="10" t="s">
        <v>58</v>
      </c>
      <c r="C51" s="10" t="s">
        <v>3</v>
      </c>
      <c r="D51" s="10" t="s">
        <v>77</v>
      </c>
      <c r="E51" s="10" t="s">
        <v>64</v>
      </c>
      <c r="F51" s="10" t="s">
        <v>33</v>
      </c>
      <c r="G51" s="12">
        <v>60.89372015155152</v>
      </c>
      <c r="H51" s="12">
        <v>58.205065781699368</v>
      </c>
      <c r="I51" s="12">
        <v>63.489471225986577</v>
      </c>
      <c r="J51" s="11">
        <v>5</v>
      </c>
      <c r="K51" s="10" t="s">
        <v>157</v>
      </c>
      <c r="L51" s="11">
        <v>2000</v>
      </c>
      <c r="M51" s="10" t="s">
        <v>158</v>
      </c>
      <c r="N51" s="11">
        <v>884</v>
      </c>
      <c r="O51" s="10" t="s">
        <v>159</v>
      </c>
    </row>
    <row r="52" spans="1:15" ht="32.1" customHeight="1" x14ac:dyDescent="0.25">
      <c r="A52" s="10" t="s">
        <v>56</v>
      </c>
      <c r="B52" s="10" t="s">
        <v>58</v>
      </c>
      <c r="C52" s="10" t="s">
        <v>3</v>
      </c>
      <c r="D52" s="10" t="s">
        <v>77</v>
      </c>
      <c r="E52" s="10" t="s">
        <v>64</v>
      </c>
      <c r="F52" s="10" t="s">
        <v>43</v>
      </c>
      <c r="G52" s="12">
        <v>9.7888888888888896</v>
      </c>
      <c r="H52" s="12">
        <v>9.2777777777777768</v>
      </c>
      <c r="I52" s="12">
        <v>10.37777777777778</v>
      </c>
      <c r="J52" s="11">
        <v>5</v>
      </c>
      <c r="K52" s="10" t="s">
        <v>157</v>
      </c>
      <c r="L52" s="11">
        <v>2000</v>
      </c>
      <c r="M52" s="10" t="s">
        <v>158</v>
      </c>
      <c r="N52" s="11">
        <v>884</v>
      </c>
      <c r="O52" s="10" t="s">
        <v>159</v>
      </c>
    </row>
    <row r="53" spans="1:15" ht="32.1" customHeight="1" x14ac:dyDescent="0.25">
      <c r="A53" s="10" t="s">
        <v>56</v>
      </c>
      <c r="B53" s="10" t="s">
        <v>58</v>
      </c>
      <c r="C53" s="10" t="s">
        <v>3</v>
      </c>
      <c r="D53" s="10" t="s">
        <v>77</v>
      </c>
      <c r="E53" s="10" t="s">
        <v>64</v>
      </c>
      <c r="F53" s="10" t="s">
        <v>46</v>
      </c>
      <c r="G53" s="12">
        <v>1.703624615037167</v>
      </c>
      <c r="H53" s="12">
        <v>1.2426659505697311</v>
      </c>
      <c r="I53" s="12">
        <v>2.3441566880163371</v>
      </c>
      <c r="J53" s="11">
        <v>5</v>
      </c>
      <c r="K53" s="10" t="s">
        <v>157</v>
      </c>
      <c r="L53" s="11">
        <v>2000</v>
      </c>
      <c r="M53" s="10" t="s">
        <v>158</v>
      </c>
      <c r="N53" s="11">
        <v>884</v>
      </c>
      <c r="O53" s="10" t="s">
        <v>159</v>
      </c>
    </row>
    <row r="54" spans="1:15" ht="32.1" customHeight="1" x14ac:dyDescent="0.25">
      <c r="A54" s="10" t="s">
        <v>56</v>
      </c>
      <c r="B54" s="10" t="s">
        <v>58</v>
      </c>
      <c r="C54" s="10" t="s">
        <v>3</v>
      </c>
      <c r="D54" s="10" t="s">
        <v>83</v>
      </c>
      <c r="E54" s="10" t="s">
        <v>5</v>
      </c>
      <c r="F54" s="10" t="s">
        <v>34</v>
      </c>
      <c r="G54" s="12">
        <v>40.377173370449867</v>
      </c>
      <c r="H54" s="12">
        <v>38.323840754009083</v>
      </c>
      <c r="I54" s="12">
        <v>43.924043332268319</v>
      </c>
      <c r="J54" s="11">
        <v>5</v>
      </c>
      <c r="K54" s="10" t="s">
        <v>157</v>
      </c>
      <c r="L54" s="11">
        <v>2000</v>
      </c>
      <c r="M54" s="10" t="s">
        <v>158</v>
      </c>
      <c r="N54" s="11">
        <v>450</v>
      </c>
      <c r="O54" s="10" t="s">
        <v>159</v>
      </c>
    </row>
    <row r="55" spans="1:15" ht="32.1" customHeight="1" x14ac:dyDescent="0.25">
      <c r="A55" s="10" t="s">
        <v>56</v>
      </c>
      <c r="B55" s="10" t="s">
        <v>58</v>
      </c>
      <c r="C55" s="10" t="s">
        <v>3</v>
      </c>
      <c r="D55" s="10" t="s">
        <v>83</v>
      </c>
      <c r="E55" s="10" t="s">
        <v>5</v>
      </c>
      <c r="F55" s="10" t="s">
        <v>35</v>
      </c>
      <c r="G55" s="12">
        <v>116.0567536089771</v>
      </c>
      <c r="H55" s="12">
        <v>91.716482905361119</v>
      </c>
      <c r="I55" s="12">
        <v>137.62100326591769</v>
      </c>
      <c r="J55" s="11">
        <v>5</v>
      </c>
      <c r="K55" s="10" t="s">
        <v>157</v>
      </c>
      <c r="L55" s="11">
        <v>2000</v>
      </c>
      <c r="M55" s="10" t="s">
        <v>158</v>
      </c>
      <c r="N55" s="11">
        <v>450</v>
      </c>
      <c r="O55" s="10" t="s">
        <v>159</v>
      </c>
    </row>
    <row r="56" spans="1:15" ht="32.1" customHeight="1" x14ac:dyDescent="0.25">
      <c r="A56" s="10" t="s">
        <v>56</v>
      </c>
      <c r="B56" s="10" t="s">
        <v>58</v>
      </c>
      <c r="C56" s="10" t="s">
        <v>3</v>
      </c>
      <c r="D56" s="10" t="s">
        <v>83</v>
      </c>
      <c r="E56" s="10" t="s">
        <v>5</v>
      </c>
      <c r="F56" s="10" t="s">
        <v>36</v>
      </c>
      <c r="G56" s="12">
        <v>185.0043474013975</v>
      </c>
      <c r="H56" s="12">
        <v>148.34082661472081</v>
      </c>
      <c r="I56" s="12">
        <v>222.7208686813722</v>
      </c>
      <c r="J56" s="11">
        <v>5</v>
      </c>
      <c r="K56" s="10" t="s">
        <v>157</v>
      </c>
      <c r="L56" s="11">
        <v>2000</v>
      </c>
      <c r="M56" s="10" t="s">
        <v>158</v>
      </c>
      <c r="N56" s="11">
        <v>450</v>
      </c>
      <c r="O56" s="10" t="s">
        <v>159</v>
      </c>
    </row>
    <row r="57" spans="1:15" ht="32.1" customHeight="1" x14ac:dyDescent="0.25">
      <c r="A57" s="10" t="s">
        <v>56</v>
      </c>
      <c r="B57" s="10" t="s">
        <v>58</v>
      </c>
      <c r="C57" s="10" t="s">
        <v>3</v>
      </c>
      <c r="D57" s="10" t="s">
        <v>83</v>
      </c>
      <c r="E57" s="10" t="s">
        <v>5</v>
      </c>
      <c r="F57" s="10" t="s">
        <v>33</v>
      </c>
      <c r="G57" s="12">
        <v>50.686158010560519</v>
      </c>
      <c r="H57" s="12">
        <v>45.868373180793398</v>
      </c>
      <c r="I57" s="12">
        <v>56.565589688842692</v>
      </c>
      <c r="J57" s="11">
        <v>5</v>
      </c>
      <c r="K57" s="10" t="s">
        <v>157</v>
      </c>
      <c r="L57" s="11">
        <v>2000</v>
      </c>
      <c r="M57" s="10" t="s">
        <v>158</v>
      </c>
      <c r="N57" s="11">
        <v>450</v>
      </c>
      <c r="O57" s="10" t="s">
        <v>159</v>
      </c>
    </row>
    <row r="58" spans="1:15" ht="32.1" customHeight="1" x14ac:dyDescent="0.25">
      <c r="A58" s="10" t="s">
        <v>56</v>
      </c>
      <c r="B58" s="10" t="s">
        <v>58</v>
      </c>
      <c r="C58" s="10" t="s">
        <v>3</v>
      </c>
      <c r="D58" s="10" t="s">
        <v>83</v>
      </c>
      <c r="E58" s="10" t="s">
        <v>5</v>
      </c>
      <c r="F58" s="10" t="s">
        <v>43</v>
      </c>
      <c r="G58" s="12">
        <v>5</v>
      </c>
      <c r="H58" s="12">
        <v>5</v>
      </c>
      <c r="I58" s="12">
        <v>5</v>
      </c>
      <c r="J58" s="11">
        <v>5</v>
      </c>
      <c r="K58" s="10" t="s">
        <v>157</v>
      </c>
      <c r="L58" s="11">
        <v>2000</v>
      </c>
      <c r="M58" s="10" t="s">
        <v>158</v>
      </c>
      <c r="N58" s="11">
        <v>450</v>
      </c>
      <c r="O58" s="10" t="s">
        <v>159</v>
      </c>
    </row>
    <row r="59" spans="1:15" ht="32.1" customHeight="1" x14ac:dyDescent="0.25">
      <c r="A59" s="10" t="s">
        <v>56</v>
      </c>
      <c r="B59" s="10" t="s">
        <v>58</v>
      </c>
      <c r="C59" s="10" t="s">
        <v>3</v>
      </c>
      <c r="D59" s="10" t="s">
        <v>83</v>
      </c>
      <c r="E59" s="10" t="s">
        <v>5</v>
      </c>
      <c r="F59" s="10" t="s">
        <v>46</v>
      </c>
      <c r="G59" s="12">
        <v>1.7777777777777779</v>
      </c>
      <c r="H59" s="12">
        <v>0.66666666666666674</v>
      </c>
      <c r="I59" s="12">
        <v>3.1166666666666369</v>
      </c>
      <c r="J59" s="11">
        <v>5</v>
      </c>
      <c r="K59" s="10" t="s">
        <v>157</v>
      </c>
      <c r="L59" s="11">
        <v>2000</v>
      </c>
      <c r="M59" s="10" t="s">
        <v>158</v>
      </c>
      <c r="N59" s="11">
        <v>450</v>
      </c>
      <c r="O59" s="10" t="s">
        <v>159</v>
      </c>
    </row>
    <row r="60" spans="1:15" ht="32.1" customHeight="1" x14ac:dyDescent="0.25">
      <c r="A60" s="10" t="s">
        <v>56</v>
      </c>
      <c r="B60" s="10" t="s">
        <v>58</v>
      </c>
      <c r="C60" s="10" t="s">
        <v>3</v>
      </c>
      <c r="D60" s="10" t="s">
        <v>83</v>
      </c>
      <c r="E60" s="10" t="s">
        <v>63</v>
      </c>
      <c r="F60" s="10" t="s">
        <v>34</v>
      </c>
      <c r="G60" s="12">
        <v>34.524002723273142</v>
      </c>
      <c r="H60" s="12">
        <v>32.403446709333807</v>
      </c>
      <c r="I60" s="12">
        <v>37.190878453759218</v>
      </c>
      <c r="J60" s="11">
        <v>5</v>
      </c>
      <c r="K60" s="10" t="s">
        <v>157</v>
      </c>
      <c r="L60" s="11">
        <v>2000</v>
      </c>
      <c r="M60" s="10" t="s">
        <v>158</v>
      </c>
      <c r="N60" s="11">
        <v>304</v>
      </c>
      <c r="O60" s="10" t="s">
        <v>159</v>
      </c>
    </row>
    <row r="61" spans="1:15" ht="32.1" customHeight="1" x14ac:dyDescent="0.25">
      <c r="A61" s="10" t="s">
        <v>56</v>
      </c>
      <c r="B61" s="10" t="s">
        <v>58</v>
      </c>
      <c r="C61" s="10" t="s">
        <v>3</v>
      </c>
      <c r="D61" s="10" t="s">
        <v>83</v>
      </c>
      <c r="E61" s="10" t="s">
        <v>63</v>
      </c>
      <c r="F61" s="10" t="s">
        <v>35</v>
      </c>
      <c r="G61" s="12">
        <v>65.135200953214493</v>
      </c>
      <c r="H61" s="12">
        <v>58.567879837375322</v>
      </c>
      <c r="I61" s="12">
        <v>72.990048587902848</v>
      </c>
      <c r="J61" s="11">
        <v>5</v>
      </c>
      <c r="K61" s="10" t="s">
        <v>157</v>
      </c>
      <c r="L61" s="11">
        <v>2000</v>
      </c>
      <c r="M61" s="10" t="s">
        <v>158</v>
      </c>
      <c r="N61" s="11">
        <v>304</v>
      </c>
      <c r="O61" s="10" t="s">
        <v>159</v>
      </c>
    </row>
    <row r="62" spans="1:15" ht="32.1" customHeight="1" x14ac:dyDescent="0.25">
      <c r="A62" s="10" t="s">
        <v>56</v>
      </c>
      <c r="B62" s="10" t="s">
        <v>58</v>
      </c>
      <c r="C62" s="10" t="s">
        <v>3</v>
      </c>
      <c r="D62" s="10" t="s">
        <v>83</v>
      </c>
      <c r="E62" s="10" t="s">
        <v>63</v>
      </c>
      <c r="F62" s="10" t="s">
        <v>36</v>
      </c>
      <c r="G62" s="12">
        <v>79.83151637201054</v>
      </c>
      <c r="H62" s="12">
        <v>67.156346004948617</v>
      </c>
      <c r="I62" s="12">
        <v>95.961452979580997</v>
      </c>
      <c r="J62" s="11">
        <v>5</v>
      </c>
      <c r="K62" s="10" t="s">
        <v>157</v>
      </c>
      <c r="L62" s="11">
        <v>2000</v>
      </c>
      <c r="M62" s="10" t="s">
        <v>158</v>
      </c>
      <c r="N62" s="11">
        <v>304</v>
      </c>
      <c r="O62" s="10" t="s">
        <v>159</v>
      </c>
    </row>
    <row r="63" spans="1:15" ht="32.1" customHeight="1" x14ac:dyDescent="0.25">
      <c r="A63" s="10" t="s">
        <v>56</v>
      </c>
      <c r="B63" s="10" t="s">
        <v>58</v>
      </c>
      <c r="C63" s="10" t="s">
        <v>3</v>
      </c>
      <c r="D63" s="10" t="s">
        <v>83</v>
      </c>
      <c r="E63" s="10" t="s">
        <v>63</v>
      </c>
      <c r="F63" s="10" t="s">
        <v>33</v>
      </c>
      <c r="G63" s="12">
        <v>37.422380654354683</v>
      </c>
      <c r="H63" s="12">
        <v>34.896526431155593</v>
      </c>
      <c r="I63" s="12">
        <v>40.774064161951202</v>
      </c>
      <c r="J63" s="11">
        <v>5</v>
      </c>
      <c r="K63" s="10" t="s">
        <v>157</v>
      </c>
      <c r="L63" s="11">
        <v>2000</v>
      </c>
      <c r="M63" s="10" t="s">
        <v>158</v>
      </c>
      <c r="N63" s="11">
        <v>304</v>
      </c>
      <c r="O63" s="10" t="s">
        <v>159</v>
      </c>
    </row>
    <row r="64" spans="1:15" ht="32.1" customHeight="1" x14ac:dyDescent="0.25">
      <c r="A64" s="10" t="s">
        <v>56</v>
      </c>
      <c r="B64" s="10" t="s">
        <v>58</v>
      </c>
      <c r="C64" s="10" t="s">
        <v>3</v>
      </c>
      <c r="D64" s="10" t="s">
        <v>83</v>
      </c>
      <c r="E64" s="10" t="s">
        <v>63</v>
      </c>
      <c r="F64" s="10" t="s">
        <v>43</v>
      </c>
      <c r="G64" s="12">
        <v>3.3777777777777782</v>
      </c>
      <c r="H64" s="12">
        <v>3.244444444444444</v>
      </c>
      <c r="I64" s="12">
        <v>3.488888888888888</v>
      </c>
      <c r="J64" s="11">
        <v>5</v>
      </c>
      <c r="K64" s="10" t="s">
        <v>157</v>
      </c>
      <c r="L64" s="11">
        <v>2000</v>
      </c>
      <c r="M64" s="10" t="s">
        <v>158</v>
      </c>
      <c r="N64" s="11">
        <v>304</v>
      </c>
      <c r="O64" s="10" t="s">
        <v>159</v>
      </c>
    </row>
    <row r="65" spans="1:15" ht="32.1" customHeight="1" x14ac:dyDescent="0.25">
      <c r="A65" s="10" t="s">
        <v>56</v>
      </c>
      <c r="B65" s="10" t="s">
        <v>58</v>
      </c>
      <c r="C65" s="10" t="s">
        <v>3</v>
      </c>
      <c r="D65" s="10" t="s">
        <v>83</v>
      </c>
      <c r="E65" s="10" t="s">
        <v>63</v>
      </c>
      <c r="F65" s="10" t="s">
        <v>46</v>
      </c>
      <c r="G65" s="12">
        <v>1.905241935483871</v>
      </c>
      <c r="H65" s="12">
        <v>0.32258064516129031</v>
      </c>
      <c r="I65" s="12">
        <v>3.487903225806452</v>
      </c>
      <c r="J65" s="11">
        <v>5</v>
      </c>
      <c r="K65" s="10" t="s">
        <v>157</v>
      </c>
      <c r="L65" s="11">
        <v>2000</v>
      </c>
      <c r="M65" s="10" t="s">
        <v>158</v>
      </c>
      <c r="N65" s="11">
        <v>304</v>
      </c>
      <c r="O65" s="10" t="s">
        <v>159</v>
      </c>
    </row>
    <row r="66" spans="1:15" ht="32.1" customHeight="1" x14ac:dyDescent="0.25">
      <c r="A66" s="10" t="s">
        <v>56</v>
      </c>
      <c r="B66" s="10" t="s">
        <v>58</v>
      </c>
      <c r="C66" s="10" t="s">
        <v>3</v>
      </c>
      <c r="D66" s="10" t="s">
        <v>4</v>
      </c>
      <c r="E66" s="10" t="s">
        <v>5</v>
      </c>
      <c r="F66" s="10" t="s">
        <v>34</v>
      </c>
      <c r="G66" s="12">
        <v>37.73571496279186</v>
      </c>
      <c r="H66" s="12">
        <v>33.461689337108353</v>
      </c>
      <c r="I66" s="12">
        <v>42.830466873084347</v>
      </c>
      <c r="J66" s="11">
        <v>5</v>
      </c>
      <c r="K66" s="10" t="s">
        <v>157</v>
      </c>
      <c r="L66" s="11">
        <v>2000</v>
      </c>
      <c r="M66" s="10" t="s">
        <v>158</v>
      </c>
      <c r="N66" s="11">
        <v>1800</v>
      </c>
      <c r="O66" s="10" t="s">
        <v>159</v>
      </c>
    </row>
    <row r="67" spans="1:15" ht="32.1" customHeight="1" x14ac:dyDescent="0.25">
      <c r="A67" s="10" t="s">
        <v>56</v>
      </c>
      <c r="B67" s="10" t="s">
        <v>58</v>
      </c>
      <c r="C67" s="10" t="s">
        <v>3</v>
      </c>
      <c r="D67" s="10" t="s">
        <v>4</v>
      </c>
      <c r="E67" s="10" t="s">
        <v>5</v>
      </c>
      <c r="F67" s="10" t="s">
        <v>35</v>
      </c>
      <c r="G67" s="12">
        <v>105.32928736626771</v>
      </c>
      <c r="H67" s="12">
        <v>91.175524391697621</v>
      </c>
      <c r="I67" s="12">
        <v>122.6836538861412</v>
      </c>
      <c r="J67" s="11">
        <v>5</v>
      </c>
      <c r="K67" s="10" t="s">
        <v>157</v>
      </c>
      <c r="L67" s="11">
        <v>2000</v>
      </c>
      <c r="M67" s="10" t="s">
        <v>158</v>
      </c>
      <c r="N67" s="11">
        <v>1800</v>
      </c>
      <c r="O67" s="10" t="s">
        <v>159</v>
      </c>
    </row>
    <row r="68" spans="1:15" ht="32.1" customHeight="1" x14ac:dyDescent="0.25">
      <c r="A68" s="10" t="s">
        <v>56</v>
      </c>
      <c r="B68" s="10" t="s">
        <v>58</v>
      </c>
      <c r="C68" s="10" t="s">
        <v>3</v>
      </c>
      <c r="D68" s="10" t="s">
        <v>4</v>
      </c>
      <c r="E68" s="10" t="s">
        <v>5</v>
      </c>
      <c r="F68" s="10" t="s">
        <v>36</v>
      </c>
      <c r="G68" s="12">
        <v>165.78197321228961</v>
      </c>
      <c r="H68" s="12">
        <v>150.58356766777669</v>
      </c>
      <c r="I68" s="12">
        <v>184.60889862346491</v>
      </c>
      <c r="J68" s="11">
        <v>5</v>
      </c>
      <c r="K68" s="10" t="s">
        <v>157</v>
      </c>
      <c r="L68" s="11">
        <v>2000</v>
      </c>
      <c r="M68" s="10" t="s">
        <v>158</v>
      </c>
      <c r="N68" s="11">
        <v>1800</v>
      </c>
      <c r="O68" s="10" t="s">
        <v>159</v>
      </c>
    </row>
    <row r="69" spans="1:15" ht="32.1" customHeight="1" x14ac:dyDescent="0.25">
      <c r="A69" s="10" t="s">
        <v>56</v>
      </c>
      <c r="B69" s="10" t="s">
        <v>58</v>
      </c>
      <c r="C69" s="10" t="s">
        <v>3</v>
      </c>
      <c r="D69" s="10" t="s">
        <v>4</v>
      </c>
      <c r="E69" s="10" t="s">
        <v>5</v>
      </c>
      <c r="F69" s="10" t="s">
        <v>33</v>
      </c>
      <c r="G69" s="12">
        <v>47.233324769723581</v>
      </c>
      <c r="H69" s="12">
        <v>42.359007476747337</v>
      </c>
      <c r="I69" s="12">
        <v>53.130085646395841</v>
      </c>
      <c r="J69" s="11">
        <v>5</v>
      </c>
      <c r="K69" s="10" t="s">
        <v>157</v>
      </c>
      <c r="L69" s="11">
        <v>2000</v>
      </c>
      <c r="M69" s="10" t="s">
        <v>158</v>
      </c>
      <c r="N69" s="11">
        <v>1800</v>
      </c>
      <c r="O69" s="10" t="s">
        <v>159</v>
      </c>
    </row>
    <row r="70" spans="1:15" ht="32.1" customHeight="1" x14ac:dyDescent="0.25">
      <c r="A70" s="10" t="s">
        <v>56</v>
      </c>
      <c r="B70" s="10" t="s">
        <v>58</v>
      </c>
      <c r="C70" s="10" t="s">
        <v>3</v>
      </c>
      <c r="D70" s="10" t="s">
        <v>4</v>
      </c>
      <c r="E70" s="10" t="s">
        <v>5</v>
      </c>
      <c r="F70" s="10" t="s">
        <v>43</v>
      </c>
      <c r="G70" s="12">
        <v>20</v>
      </c>
      <c r="H70" s="12">
        <v>20</v>
      </c>
      <c r="I70" s="12">
        <v>20</v>
      </c>
      <c r="J70" s="11">
        <v>5</v>
      </c>
      <c r="K70" s="10" t="s">
        <v>157</v>
      </c>
      <c r="L70" s="11">
        <v>2000</v>
      </c>
      <c r="M70" s="10" t="s">
        <v>158</v>
      </c>
      <c r="N70" s="11">
        <v>1800</v>
      </c>
      <c r="O70" s="10" t="s">
        <v>159</v>
      </c>
    </row>
    <row r="71" spans="1:15" ht="32.1" customHeight="1" x14ac:dyDescent="0.25">
      <c r="A71" s="10" t="s">
        <v>56</v>
      </c>
      <c r="B71" s="10" t="s">
        <v>58</v>
      </c>
      <c r="C71" s="10" t="s">
        <v>3</v>
      </c>
      <c r="D71" s="10" t="s">
        <v>4</v>
      </c>
      <c r="E71" s="10" t="s">
        <v>5</v>
      </c>
      <c r="F71" s="10" t="s">
        <v>46</v>
      </c>
      <c r="G71" s="12">
        <v>1.7777777777777779</v>
      </c>
      <c r="H71" s="12">
        <v>1.444444444444444</v>
      </c>
      <c r="I71" s="12">
        <v>2.0555555555555558</v>
      </c>
      <c r="J71" s="11">
        <v>5</v>
      </c>
      <c r="K71" s="10" t="s">
        <v>157</v>
      </c>
      <c r="L71" s="11">
        <v>2000</v>
      </c>
      <c r="M71" s="10" t="s">
        <v>158</v>
      </c>
      <c r="N71" s="11">
        <v>1800</v>
      </c>
      <c r="O71" s="10" t="s">
        <v>159</v>
      </c>
    </row>
    <row r="72" spans="1:15" ht="32.1" customHeight="1" x14ac:dyDescent="0.25">
      <c r="A72" s="10" t="s">
        <v>56</v>
      </c>
      <c r="B72" s="10" t="s">
        <v>58</v>
      </c>
      <c r="C72" s="10" t="s">
        <v>3</v>
      </c>
      <c r="D72" s="10" t="s">
        <v>4</v>
      </c>
      <c r="E72" s="10" t="s">
        <v>62</v>
      </c>
      <c r="F72" s="10" t="s">
        <v>34</v>
      </c>
      <c r="G72" s="12">
        <v>104.30642840140131</v>
      </c>
      <c r="H72" s="12">
        <v>88.573598301433847</v>
      </c>
      <c r="I72" s="12">
        <v>123.6860588874459</v>
      </c>
      <c r="J72" s="11">
        <v>4</v>
      </c>
      <c r="K72" s="10" t="s">
        <v>157</v>
      </c>
      <c r="L72" s="11">
        <v>2000</v>
      </c>
      <c r="M72" s="10" t="s">
        <v>160</v>
      </c>
      <c r="N72" s="11">
        <v>150</v>
      </c>
      <c r="O72" s="10" t="s">
        <v>159</v>
      </c>
    </row>
    <row r="73" spans="1:15" ht="32.1" customHeight="1" x14ac:dyDescent="0.25">
      <c r="A73" s="10" t="s">
        <v>56</v>
      </c>
      <c r="B73" s="10" t="s">
        <v>58</v>
      </c>
      <c r="C73" s="10" t="s">
        <v>3</v>
      </c>
      <c r="D73" s="10" t="s">
        <v>4</v>
      </c>
      <c r="E73" s="10" t="s">
        <v>62</v>
      </c>
      <c r="F73" s="10" t="s">
        <v>35</v>
      </c>
      <c r="G73" s="12">
        <v>177.86158453689609</v>
      </c>
      <c r="H73" s="12">
        <v>156.79277028783221</v>
      </c>
      <c r="I73" s="12">
        <v>202.88163253232719</v>
      </c>
      <c r="J73" s="11">
        <v>4</v>
      </c>
      <c r="K73" s="10" t="s">
        <v>157</v>
      </c>
      <c r="L73" s="11">
        <v>2000</v>
      </c>
      <c r="M73" s="10" t="s">
        <v>160</v>
      </c>
      <c r="N73" s="11">
        <v>150</v>
      </c>
      <c r="O73" s="10" t="s">
        <v>159</v>
      </c>
    </row>
    <row r="74" spans="1:15" ht="32.1" customHeight="1" x14ac:dyDescent="0.25">
      <c r="A74" s="10" t="s">
        <v>56</v>
      </c>
      <c r="B74" s="10" t="s">
        <v>58</v>
      </c>
      <c r="C74" s="10" t="s">
        <v>3</v>
      </c>
      <c r="D74" s="10" t="s">
        <v>4</v>
      </c>
      <c r="E74" s="10" t="s">
        <v>62</v>
      </c>
      <c r="F74" s="10" t="s">
        <v>36</v>
      </c>
      <c r="G74" s="12">
        <v>432.72270601690718</v>
      </c>
      <c r="H74" s="12">
        <v>200.3027084919232</v>
      </c>
      <c r="I74" s="12">
        <v>861.79656258510568</v>
      </c>
      <c r="J74" s="11">
        <v>4</v>
      </c>
      <c r="K74" s="10" t="s">
        <v>157</v>
      </c>
      <c r="L74" s="11">
        <v>2000</v>
      </c>
      <c r="M74" s="10" t="s">
        <v>160</v>
      </c>
      <c r="N74" s="11">
        <v>150</v>
      </c>
      <c r="O74" s="10" t="s">
        <v>159</v>
      </c>
    </row>
    <row r="75" spans="1:15" ht="32.1" customHeight="1" x14ac:dyDescent="0.25">
      <c r="A75" s="10" t="s">
        <v>56</v>
      </c>
      <c r="B75" s="10" t="s">
        <v>58</v>
      </c>
      <c r="C75" s="10" t="s">
        <v>3</v>
      </c>
      <c r="D75" s="10" t="s">
        <v>4</v>
      </c>
      <c r="E75" s="10" t="s">
        <v>62</v>
      </c>
      <c r="F75" s="10" t="s">
        <v>33</v>
      </c>
      <c r="G75" s="12">
        <v>118.0066782751785</v>
      </c>
      <c r="H75" s="12">
        <v>100.7907645836713</v>
      </c>
      <c r="I75" s="12">
        <v>135.22259196668571</v>
      </c>
      <c r="J75" s="11">
        <v>4</v>
      </c>
      <c r="K75" s="10" t="s">
        <v>157</v>
      </c>
      <c r="L75" s="11">
        <v>2000</v>
      </c>
      <c r="M75" s="10" t="s">
        <v>160</v>
      </c>
      <c r="N75" s="11">
        <v>150</v>
      </c>
      <c r="O75" s="10" t="s">
        <v>159</v>
      </c>
    </row>
    <row r="76" spans="1:15" ht="32.1" customHeight="1" x14ac:dyDescent="0.25">
      <c r="A76" s="10" t="s">
        <v>56</v>
      </c>
      <c r="B76" s="10" t="s">
        <v>58</v>
      </c>
      <c r="C76" s="10" t="s">
        <v>3</v>
      </c>
      <c r="D76" s="10" t="s">
        <v>4</v>
      </c>
      <c r="E76" s="10" t="s">
        <v>62</v>
      </c>
      <c r="F76" s="10" t="s">
        <v>43</v>
      </c>
      <c r="G76" s="12">
        <v>2.083333333333333</v>
      </c>
      <c r="H76" s="12">
        <v>1.9722222222222221</v>
      </c>
      <c r="I76" s="12">
        <v>2.25</v>
      </c>
      <c r="J76" s="11">
        <v>4</v>
      </c>
      <c r="K76" s="10" t="s">
        <v>157</v>
      </c>
      <c r="L76" s="11">
        <v>2000</v>
      </c>
      <c r="M76" s="10" t="s">
        <v>160</v>
      </c>
      <c r="N76" s="11">
        <v>150</v>
      </c>
      <c r="O76" s="10" t="s">
        <v>159</v>
      </c>
    </row>
    <row r="77" spans="1:15" ht="32.1" customHeight="1" x14ac:dyDescent="0.25">
      <c r="A77" s="10" t="s">
        <v>56</v>
      </c>
      <c r="B77" s="10" t="s">
        <v>58</v>
      </c>
      <c r="C77" s="10" t="s">
        <v>3</v>
      </c>
      <c r="D77" s="10" t="s">
        <v>4</v>
      </c>
      <c r="E77" s="10" t="s">
        <v>62</v>
      </c>
      <c r="F77" s="10" t="s">
        <v>46</v>
      </c>
      <c r="G77" s="12">
        <v>0.67567567567567566</v>
      </c>
      <c r="H77" s="12">
        <v>0</v>
      </c>
      <c r="I77" s="12">
        <v>2.0270270270270272</v>
      </c>
      <c r="J77" s="11">
        <v>4</v>
      </c>
      <c r="K77" s="10" t="s">
        <v>157</v>
      </c>
      <c r="L77" s="11">
        <v>2000</v>
      </c>
      <c r="M77" s="10" t="s">
        <v>160</v>
      </c>
      <c r="N77" s="11">
        <v>150</v>
      </c>
      <c r="O77" s="10" t="s">
        <v>159</v>
      </c>
    </row>
    <row r="78" spans="1:15" ht="32.1" customHeight="1" x14ac:dyDescent="0.25">
      <c r="A78" s="10" t="s">
        <v>56</v>
      </c>
      <c r="B78" s="10" t="s">
        <v>58</v>
      </c>
      <c r="C78" s="10" t="s">
        <v>3</v>
      </c>
      <c r="D78" s="10" t="s">
        <v>4</v>
      </c>
      <c r="E78" s="10" t="s">
        <v>63</v>
      </c>
      <c r="F78" s="10" t="s">
        <v>34</v>
      </c>
      <c r="G78" s="12">
        <v>32.765389875279283</v>
      </c>
      <c r="H78" s="12">
        <v>29.50862319707225</v>
      </c>
      <c r="I78" s="12">
        <v>36.529007775801936</v>
      </c>
      <c r="J78" s="11">
        <v>5</v>
      </c>
      <c r="K78" s="10" t="s">
        <v>157</v>
      </c>
      <c r="L78" s="11">
        <v>2000</v>
      </c>
      <c r="M78" s="10" t="s">
        <v>158</v>
      </c>
      <c r="N78" s="11">
        <v>1287</v>
      </c>
      <c r="O78" s="10" t="s">
        <v>159</v>
      </c>
    </row>
    <row r="79" spans="1:15" ht="32.1" customHeight="1" x14ac:dyDescent="0.25">
      <c r="A79" s="10" t="s">
        <v>56</v>
      </c>
      <c r="B79" s="10" t="s">
        <v>58</v>
      </c>
      <c r="C79" s="10" t="s">
        <v>3</v>
      </c>
      <c r="D79" s="10" t="s">
        <v>4</v>
      </c>
      <c r="E79" s="10" t="s">
        <v>63</v>
      </c>
      <c r="F79" s="10" t="s">
        <v>35</v>
      </c>
      <c r="G79" s="12">
        <v>62.540434132730667</v>
      </c>
      <c r="H79" s="12">
        <v>55.369761014330138</v>
      </c>
      <c r="I79" s="12">
        <v>72.653072809257168</v>
      </c>
      <c r="J79" s="11">
        <v>5</v>
      </c>
      <c r="K79" s="10" t="s">
        <v>157</v>
      </c>
      <c r="L79" s="11">
        <v>2000</v>
      </c>
      <c r="M79" s="10" t="s">
        <v>158</v>
      </c>
      <c r="N79" s="11">
        <v>1287</v>
      </c>
      <c r="O79" s="10" t="s">
        <v>159</v>
      </c>
    </row>
    <row r="80" spans="1:15" ht="32.1" customHeight="1" x14ac:dyDescent="0.25">
      <c r="A80" s="10" t="s">
        <v>56</v>
      </c>
      <c r="B80" s="10" t="s">
        <v>58</v>
      </c>
      <c r="C80" s="10" t="s">
        <v>3</v>
      </c>
      <c r="D80" s="10" t="s">
        <v>4</v>
      </c>
      <c r="E80" s="10" t="s">
        <v>63</v>
      </c>
      <c r="F80" s="10" t="s">
        <v>36</v>
      </c>
      <c r="G80" s="12">
        <v>80.993534703634481</v>
      </c>
      <c r="H80" s="12">
        <v>73.498139483919687</v>
      </c>
      <c r="I80" s="12">
        <v>91.125203116070566</v>
      </c>
      <c r="J80" s="11">
        <v>5</v>
      </c>
      <c r="K80" s="10" t="s">
        <v>157</v>
      </c>
      <c r="L80" s="11">
        <v>2000</v>
      </c>
      <c r="M80" s="10" t="s">
        <v>158</v>
      </c>
      <c r="N80" s="11">
        <v>1287</v>
      </c>
      <c r="O80" s="10" t="s">
        <v>159</v>
      </c>
    </row>
    <row r="81" spans="1:15" ht="32.1" customHeight="1" x14ac:dyDescent="0.25">
      <c r="A81" s="10" t="s">
        <v>56</v>
      </c>
      <c r="B81" s="10" t="s">
        <v>58</v>
      </c>
      <c r="C81" s="10" t="s">
        <v>3</v>
      </c>
      <c r="D81" s="10" t="s">
        <v>4</v>
      </c>
      <c r="E81" s="10" t="s">
        <v>63</v>
      </c>
      <c r="F81" s="10" t="s">
        <v>33</v>
      </c>
      <c r="G81" s="12">
        <v>36.321549533618793</v>
      </c>
      <c r="H81" s="12">
        <v>33.137572484712827</v>
      </c>
      <c r="I81" s="12">
        <v>40.748533780019251</v>
      </c>
      <c r="J81" s="11">
        <v>5</v>
      </c>
      <c r="K81" s="10" t="s">
        <v>157</v>
      </c>
      <c r="L81" s="11">
        <v>2000</v>
      </c>
      <c r="M81" s="10" t="s">
        <v>158</v>
      </c>
      <c r="N81" s="11">
        <v>1287</v>
      </c>
      <c r="O81" s="10" t="s">
        <v>159</v>
      </c>
    </row>
    <row r="82" spans="1:15" ht="32.1" customHeight="1" x14ac:dyDescent="0.25">
      <c r="A82" s="10" t="s">
        <v>56</v>
      </c>
      <c r="B82" s="10" t="s">
        <v>58</v>
      </c>
      <c r="C82" s="10" t="s">
        <v>3</v>
      </c>
      <c r="D82" s="10" t="s">
        <v>4</v>
      </c>
      <c r="E82" s="10" t="s">
        <v>63</v>
      </c>
      <c r="F82" s="10" t="s">
        <v>43</v>
      </c>
      <c r="G82" s="12">
        <v>14.3</v>
      </c>
      <c r="H82" s="12">
        <v>13.94444444444445</v>
      </c>
      <c r="I82" s="12">
        <v>14.677777777777781</v>
      </c>
      <c r="J82" s="11">
        <v>5</v>
      </c>
      <c r="K82" s="10" t="s">
        <v>157</v>
      </c>
      <c r="L82" s="11">
        <v>2000</v>
      </c>
      <c r="M82" s="10" t="s">
        <v>158</v>
      </c>
      <c r="N82" s="11">
        <v>1287</v>
      </c>
      <c r="O82" s="10" t="s">
        <v>159</v>
      </c>
    </row>
    <row r="83" spans="1:15" ht="32.1" customHeight="1" x14ac:dyDescent="0.25">
      <c r="A83" s="10" t="s">
        <v>56</v>
      </c>
      <c r="B83" s="10" t="s">
        <v>58</v>
      </c>
      <c r="C83" s="10" t="s">
        <v>3</v>
      </c>
      <c r="D83" s="10" t="s">
        <v>4</v>
      </c>
      <c r="E83" s="10" t="s">
        <v>63</v>
      </c>
      <c r="F83" s="10" t="s">
        <v>46</v>
      </c>
      <c r="G83" s="12">
        <v>2.0037842416422138</v>
      </c>
      <c r="H83" s="12">
        <v>1.394973478032689</v>
      </c>
      <c r="I83" s="12">
        <v>2.5322970028852381</v>
      </c>
      <c r="J83" s="11">
        <v>5</v>
      </c>
      <c r="K83" s="10" t="s">
        <v>157</v>
      </c>
      <c r="L83" s="11">
        <v>2000</v>
      </c>
      <c r="M83" s="10" t="s">
        <v>158</v>
      </c>
      <c r="N83" s="11">
        <v>1287</v>
      </c>
      <c r="O83" s="10" t="s">
        <v>159</v>
      </c>
    </row>
    <row r="84" spans="1:15" ht="32.1" customHeight="1" x14ac:dyDescent="0.25">
      <c r="A84" s="10" t="s">
        <v>56</v>
      </c>
      <c r="B84" s="10" t="s">
        <v>58</v>
      </c>
      <c r="C84" s="10" t="s">
        <v>3</v>
      </c>
      <c r="D84" s="10" t="s">
        <v>4</v>
      </c>
      <c r="E84" s="10" t="s">
        <v>64</v>
      </c>
      <c r="F84" s="10" t="s">
        <v>34</v>
      </c>
      <c r="G84" s="12">
        <v>48.860476082043093</v>
      </c>
      <c r="H84" s="12">
        <v>44.303989203228738</v>
      </c>
      <c r="I84" s="12">
        <v>56.54507887160824</v>
      </c>
      <c r="J84" s="11">
        <v>5</v>
      </c>
      <c r="K84" s="10" t="s">
        <v>157</v>
      </c>
      <c r="L84" s="11">
        <v>2000</v>
      </c>
      <c r="M84" s="10" t="s">
        <v>158</v>
      </c>
      <c r="N84" s="11">
        <v>336</v>
      </c>
      <c r="O84" s="10" t="s">
        <v>159</v>
      </c>
    </row>
    <row r="85" spans="1:15" ht="32.1" customHeight="1" x14ac:dyDescent="0.25">
      <c r="A85" s="10" t="s">
        <v>56</v>
      </c>
      <c r="B85" s="10" t="s">
        <v>58</v>
      </c>
      <c r="C85" s="10" t="s">
        <v>3</v>
      </c>
      <c r="D85" s="10" t="s">
        <v>4</v>
      </c>
      <c r="E85" s="10" t="s">
        <v>64</v>
      </c>
      <c r="F85" s="10" t="s">
        <v>35</v>
      </c>
      <c r="G85" s="12">
        <v>86.583546357145309</v>
      </c>
      <c r="H85" s="12">
        <v>79.150708518308747</v>
      </c>
      <c r="I85" s="12">
        <v>94.713100133020106</v>
      </c>
      <c r="J85" s="11">
        <v>5</v>
      </c>
      <c r="K85" s="10" t="s">
        <v>157</v>
      </c>
      <c r="L85" s="11">
        <v>2000</v>
      </c>
      <c r="M85" s="10" t="s">
        <v>158</v>
      </c>
      <c r="N85" s="11">
        <v>336</v>
      </c>
      <c r="O85" s="10" t="s">
        <v>159</v>
      </c>
    </row>
    <row r="86" spans="1:15" ht="32.1" customHeight="1" x14ac:dyDescent="0.25">
      <c r="A86" s="10" t="s">
        <v>56</v>
      </c>
      <c r="B86" s="10" t="s">
        <v>58</v>
      </c>
      <c r="C86" s="10" t="s">
        <v>3</v>
      </c>
      <c r="D86" s="10" t="s">
        <v>4</v>
      </c>
      <c r="E86" s="10" t="s">
        <v>64</v>
      </c>
      <c r="F86" s="10" t="s">
        <v>36</v>
      </c>
      <c r="G86" s="12">
        <v>111.0361577607347</v>
      </c>
      <c r="H86" s="12">
        <v>96.071095286272481</v>
      </c>
      <c r="I86" s="12">
        <v>131.29639429167071</v>
      </c>
      <c r="J86" s="11">
        <v>5</v>
      </c>
      <c r="K86" s="10" t="s">
        <v>157</v>
      </c>
      <c r="L86" s="11">
        <v>2000</v>
      </c>
      <c r="M86" s="10" t="s">
        <v>158</v>
      </c>
      <c r="N86" s="11">
        <v>336</v>
      </c>
      <c r="O86" s="10" t="s">
        <v>159</v>
      </c>
    </row>
    <row r="87" spans="1:15" ht="32.1" customHeight="1" x14ac:dyDescent="0.25">
      <c r="A87" s="10" t="s">
        <v>56</v>
      </c>
      <c r="B87" s="10" t="s">
        <v>58</v>
      </c>
      <c r="C87" s="10" t="s">
        <v>3</v>
      </c>
      <c r="D87" s="10" t="s">
        <v>4</v>
      </c>
      <c r="E87" s="10" t="s">
        <v>64</v>
      </c>
      <c r="F87" s="10" t="s">
        <v>33</v>
      </c>
      <c r="G87" s="12">
        <v>52.398078492877133</v>
      </c>
      <c r="H87" s="12">
        <v>47.616229580314418</v>
      </c>
      <c r="I87" s="12">
        <v>59.554726838363749</v>
      </c>
      <c r="J87" s="11">
        <v>5</v>
      </c>
      <c r="K87" s="10" t="s">
        <v>157</v>
      </c>
      <c r="L87" s="11">
        <v>2000</v>
      </c>
      <c r="M87" s="10" t="s">
        <v>158</v>
      </c>
      <c r="N87" s="11">
        <v>336</v>
      </c>
      <c r="O87" s="10" t="s">
        <v>159</v>
      </c>
    </row>
    <row r="88" spans="1:15" ht="32.1" customHeight="1" x14ac:dyDescent="0.25">
      <c r="A88" s="10" t="s">
        <v>56</v>
      </c>
      <c r="B88" s="10" t="s">
        <v>58</v>
      </c>
      <c r="C88" s="10" t="s">
        <v>3</v>
      </c>
      <c r="D88" s="10" t="s">
        <v>4</v>
      </c>
      <c r="E88" s="10" t="s">
        <v>64</v>
      </c>
      <c r="F88" s="10" t="s">
        <v>43</v>
      </c>
      <c r="G88" s="12">
        <v>3.7333333333333329</v>
      </c>
      <c r="H88" s="12">
        <v>3.4222222222222221</v>
      </c>
      <c r="I88" s="12">
        <v>4.0333333333333332</v>
      </c>
      <c r="J88" s="11">
        <v>5</v>
      </c>
      <c r="K88" s="10" t="s">
        <v>157</v>
      </c>
      <c r="L88" s="11">
        <v>2000</v>
      </c>
      <c r="M88" s="10" t="s">
        <v>158</v>
      </c>
      <c r="N88" s="11">
        <v>336</v>
      </c>
      <c r="O88" s="10" t="s">
        <v>159</v>
      </c>
    </row>
    <row r="89" spans="1:15" ht="32.1" customHeight="1" x14ac:dyDescent="0.25">
      <c r="A89" s="10" t="s">
        <v>56</v>
      </c>
      <c r="B89" s="10" t="s">
        <v>58</v>
      </c>
      <c r="C89" s="10" t="s">
        <v>3</v>
      </c>
      <c r="D89" s="10" t="s">
        <v>4</v>
      </c>
      <c r="E89" s="10" t="s">
        <v>64</v>
      </c>
      <c r="F89" s="10" t="s">
        <v>46</v>
      </c>
      <c r="G89" s="12">
        <v>1.438173715255513</v>
      </c>
      <c r="H89" s="12">
        <v>0.33898305084745761</v>
      </c>
      <c r="I89" s="12">
        <v>2.5373643796635692</v>
      </c>
      <c r="J89" s="11">
        <v>5</v>
      </c>
      <c r="K89" s="10" t="s">
        <v>157</v>
      </c>
      <c r="L89" s="11">
        <v>2000</v>
      </c>
      <c r="M89" s="10" t="s">
        <v>158</v>
      </c>
      <c r="N89" s="11">
        <v>336</v>
      </c>
      <c r="O89" s="10" t="s">
        <v>159</v>
      </c>
    </row>
    <row r="90" spans="1:15" ht="32.1" customHeight="1" x14ac:dyDescent="0.25">
      <c r="A90" s="10" t="s">
        <v>56</v>
      </c>
      <c r="B90" s="10" t="s">
        <v>94</v>
      </c>
      <c r="C90" s="10" t="s">
        <v>59</v>
      </c>
      <c r="D90" s="10" t="s">
        <v>59</v>
      </c>
      <c r="E90" s="10" t="s">
        <v>5</v>
      </c>
      <c r="F90" s="10" t="s">
        <v>34</v>
      </c>
      <c r="G90" s="12">
        <v>68.883515444279894</v>
      </c>
      <c r="H90" s="12">
        <v>64.495132450078501</v>
      </c>
      <c r="I90" s="12">
        <v>73.054204743960696</v>
      </c>
      <c r="J90" s="11">
        <v>5</v>
      </c>
      <c r="K90" s="10" t="s">
        <v>157</v>
      </c>
      <c r="L90" s="11">
        <v>2000</v>
      </c>
      <c r="M90" s="10" t="s">
        <v>158</v>
      </c>
      <c r="N90" s="11">
        <v>4150</v>
      </c>
      <c r="O90" s="10" t="s">
        <v>159</v>
      </c>
    </row>
    <row r="91" spans="1:15" ht="32.1" customHeight="1" x14ac:dyDescent="0.25">
      <c r="A91" s="10" t="s">
        <v>56</v>
      </c>
      <c r="B91" s="10" t="s">
        <v>94</v>
      </c>
      <c r="C91" s="10" t="s">
        <v>59</v>
      </c>
      <c r="D91" s="10" t="s">
        <v>59</v>
      </c>
      <c r="E91" s="10" t="s">
        <v>5</v>
      </c>
      <c r="F91" s="10" t="s">
        <v>35</v>
      </c>
      <c r="G91" s="12">
        <v>196.0487866160949</v>
      </c>
      <c r="H91" s="12">
        <v>181.4647607652941</v>
      </c>
      <c r="I91" s="12">
        <v>211.55012463832799</v>
      </c>
      <c r="J91" s="11">
        <v>5</v>
      </c>
      <c r="K91" s="10" t="s">
        <v>157</v>
      </c>
      <c r="L91" s="11">
        <v>2000</v>
      </c>
      <c r="M91" s="10" t="s">
        <v>158</v>
      </c>
      <c r="N91" s="11">
        <v>4150</v>
      </c>
      <c r="O91" s="10" t="s">
        <v>159</v>
      </c>
    </row>
    <row r="92" spans="1:15" ht="32.1" customHeight="1" x14ac:dyDescent="0.25">
      <c r="A92" s="10" t="s">
        <v>56</v>
      </c>
      <c r="B92" s="10" t="s">
        <v>94</v>
      </c>
      <c r="C92" s="10" t="s">
        <v>59</v>
      </c>
      <c r="D92" s="10" t="s">
        <v>59</v>
      </c>
      <c r="E92" s="10" t="s">
        <v>5</v>
      </c>
      <c r="F92" s="10" t="s">
        <v>36</v>
      </c>
      <c r="G92" s="12">
        <v>326.85190439901868</v>
      </c>
      <c r="H92" s="12">
        <v>296.75055808442028</v>
      </c>
      <c r="I92" s="12">
        <v>356.95325071361702</v>
      </c>
      <c r="J92" s="11">
        <v>5</v>
      </c>
      <c r="K92" s="10" t="s">
        <v>157</v>
      </c>
      <c r="L92" s="11">
        <v>2000</v>
      </c>
      <c r="M92" s="10" t="s">
        <v>158</v>
      </c>
      <c r="N92" s="11">
        <v>4150</v>
      </c>
      <c r="O92" s="10" t="s">
        <v>159</v>
      </c>
    </row>
    <row r="93" spans="1:15" ht="32.1" customHeight="1" x14ac:dyDescent="0.25">
      <c r="A93" s="10" t="s">
        <v>56</v>
      </c>
      <c r="B93" s="10" t="s">
        <v>94</v>
      </c>
      <c r="C93" s="10" t="s">
        <v>59</v>
      </c>
      <c r="D93" s="10" t="s">
        <v>59</v>
      </c>
      <c r="E93" s="10" t="s">
        <v>5</v>
      </c>
      <c r="F93" s="10" t="s">
        <v>33</v>
      </c>
      <c r="G93" s="12">
        <v>87.447191720641896</v>
      </c>
      <c r="H93" s="12">
        <v>81.729581366908008</v>
      </c>
      <c r="I93" s="12">
        <v>94.015186838412902</v>
      </c>
      <c r="J93" s="11">
        <v>5</v>
      </c>
      <c r="K93" s="10" t="s">
        <v>157</v>
      </c>
      <c r="L93" s="11">
        <v>2000</v>
      </c>
      <c r="M93" s="10" t="s">
        <v>158</v>
      </c>
      <c r="N93" s="11">
        <v>4150</v>
      </c>
      <c r="O93" s="10" t="s">
        <v>159</v>
      </c>
    </row>
    <row r="94" spans="1:15" ht="32.1" customHeight="1" x14ac:dyDescent="0.25">
      <c r="A94" s="10" t="s">
        <v>56</v>
      </c>
      <c r="B94" s="10" t="s">
        <v>94</v>
      </c>
      <c r="C94" s="10" t="s">
        <v>59</v>
      </c>
      <c r="D94" s="10" t="s">
        <v>59</v>
      </c>
      <c r="E94" s="10" t="s">
        <v>5</v>
      </c>
      <c r="F94" s="10" t="s">
        <v>43</v>
      </c>
      <c r="G94" s="12">
        <v>41.5</v>
      </c>
      <c r="H94" s="12">
        <v>41.5</v>
      </c>
      <c r="I94" s="12">
        <v>41.5</v>
      </c>
      <c r="J94" s="11">
        <v>5</v>
      </c>
      <c r="K94" s="10" t="s">
        <v>157</v>
      </c>
      <c r="L94" s="11">
        <v>2000</v>
      </c>
      <c r="M94" s="10" t="s">
        <v>158</v>
      </c>
      <c r="N94" s="11">
        <v>4150</v>
      </c>
      <c r="O94" s="10" t="s">
        <v>159</v>
      </c>
    </row>
    <row r="95" spans="1:15" ht="32.1" customHeight="1" x14ac:dyDescent="0.25">
      <c r="A95" s="10" t="s">
        <v>56</v>
      </c>
      <c r="B95" s="10" t="s">
        <v>94</v>
      </c>
      <c r="C95" s="10" t="s">
        <v>59</v>
      </c>
      <c r="D95" s="10" t="s">
        <v>59</v>
      </c>
      <c r="E95" s="10" t="s">
        <v>5</v>
      </c>
      <c r="F95" s="10" t="s">
        <v>46</v>
      </c>
      <c r="G95" s="12">
        <v>1.44578313253012</v>
      </c>
      <c r="H95" s="12">
        <v>0.98795180722891562</v>
      </c>
      <c r="I95" s="12">
        <v>2.024096385542169</v>
      </c>
      <c r="J95" s="11">
        <v>5</v>
      </c>
      <c r="K95" s="10" t="s">
        <v>157</v>
      </c>
      <c r="L95" s="11">
        <v>2000</v>
      </c>
      <c r="M95" s="10" t="s">
        <v>158</v>
      </c>
      <c r="N95" s="11">
        <v>4150</v>
      </c>
      <c r="O95" s="10" t="s">
        <v>159</v>
      </c>
    </row>
    <row r="96" spans="1:15" ht="32.1" customHeight="1" x14ac:dyDescent="0.25">
      <c r="A96" s="10" t="s">
        <v>56</v>
      </c>
      <c r="B96" s="10" t="s">
        <v>94</v>
      </c>
      <c r="C96" s="10" t="s">
        <v>59</v>
      </c>
      <c r="D96" s="10" t="s">
        <v>59</v>
      </c>
      <c r="E96" s="10" t="s">
        <v>62</v>
      </c>
      <c r="F96" s="10" t="s">
        <v>34</v>
      </c>
      <c r="G96" s="12">
        <v>182.94764859689039</v>
      </c>
      <c r="H96" s="12">
        <v>172.89833865375911</v>
      </c>
      <c r="I96" s="12">
        <v>192.5046117879958</v>
      </c>
      <c r="J96" s="11">
        <v>5</v>
      </c>
      <c r="K96" s="10" t="s">
        <v>157</v>
      </c>
      <c r="L96" s="11">
        <v>2000</v>
      </c>
      <c r="M96" s="10" t="s">
        <v>158</v>
      </c>
      <c r="N96" s="11">
        <v>406</v>
      </c>
      <c r="O96" s="10" t="s">
        <v>159</v>
      </c>
    </row>
    <row r="97" spans="1:15" ht="32.1" customHeight="1" x14ac:dyDescent="0.25">
      <c r="A97" s="10" t="s">
        <v>56</v>
      </c>
      <c r="B97" s="10" t="s">
        <v>94</v>
      </c>
      <c r="C97" s="10" t="s">
        <v>59</v>
      </c>
      <c r="D97" s="10" t="s">
        <v>59</v>
      </c>
      <c r="E97" s="10" t="s">
        <v>62</v>
      </c>
      <c r="F97" s="10" t="s">
        <v>35</v>
      </c>
      <c r="G97" s="12">
        <v>364.72970773000998</v>
      </c>
      <c r="H97" s="12">
        <v>337.43577554877447</v>
      </c>
      <c r="I97" s="12">
        <v>394.89970330395448</v>
      </c>
      <c r="J97" s="11">
        <v>5</v>
      </c>
      <c r="K97" s="10" t="s">
        <v>157</v>
      </c>
      <c r="L97" s="11">
        <v>2000</v>
      </c>
      <c r="M97" s="10" t="s">
        <v>158</v>
      </c>
      <c r="N97" s="11">
        <v>406</v>
      </c>
      <c r="O97" s="10" t="s">
        <v>159</v>
      </c>
    </row>
    <row r="98" spans="1:15" ht="32.1" customHeight="1" x14ac:dyDescent="0.25">
      <c r="A98" s="10" t="s">
        <v>56</v>
      </c>
      <c r="B98" s="10" t="s">
        <v>94</v>
      </c>
      <c r="C98" s="10" t="s">
        <v>59</v>
      </c>
      <c r="D98" s="10" t="s">
        <v>59</v>
      </c>
      <c r="E98" s="10" t="s">
        <v>62</v>
      </c>
      <c r="F98" s="10" t="s">
        <v>36</v>
      </c>
      <c r="G98" s="12">
        <v>824.0773765711765</v>
      </c>
      <c r="H98" s="12">
        <v>456.71977873048962</v>
      </c>
      <c r="I98" s="12">
        <v>1231.773368428592</v>
      </c>
      <c r="J98" s="11">
        <v>5</v>
      </c>
      <c r="K98" s="10" t="s">
        <v>157</v>
      </c>
      <c r="L98" s="11">
        <v>2000</v>
      </c>
      <c r="M98" s="10" t="s">
        <v>158</v>
      </c>
      <c r="N98" s="11">
        <v>406</v>
      </c>
      <c r="O98" s="10" t="s">
        <v>159</v>
      </c>
    </row>
    <row r="99" spans="1:15" ht="32.1" customHeight="1" x14ac:dyDescent="0.25">
      <c r="A99" s="10" t="s">
        <v>56</v>
      </c>
      <c r="B99" s="10" t="s">
        <v>94</v>
      </c>
      <c r="C99" s="10" t="s">
        <v>59</v>
      </c>
      <c r="D99" s="10" t="s">
        <v>59</v>
      </c>
      <c r="E99" s="10" t="s">
        <v>62</v>
      </c>
      <c r="F99" s="10" t="s">
        <v>33</v>
      </c>
      <c r="G99" s="12">
        <v>220.95085584537961</v>
      </c>
      <c r="H99" s="12">
        <v>200.13400169972891</v>
      </c>
      <c r="I99" s="12">
        <v>246.57506007715679</v>
      </c>
      <c r="J99" s="11">
        <v>5</v>
      </c>
      <c r="K99" s="10" t="s">
        <v>157</v>
      </c>
      <c r="L99" s="11">
        <v>2000</v>
      </c>
      <c r="M99" s="10" t="s">
        <v>158</v>
      </c>
      <c r="N99" s="11">
        <v>406</v>
      </c>
      <c r="O99" s="10" t="s">
        <v>159</v>
      </c>
    </row>
    <row r="100" spans="1:15" ht="32.1" customHeight="1" x14ac:dyDescent="0.25">
      <c r="A100" s="10" t="s">
        <v>56</v>
      </c>
      <c r="B100" s="10" t="s">
        <v>94</v>
      </c>
      <c r="C100" s="10" t="s">
        <v>59</v>
      </c>
      <c r="D100" s="10" t="s">
        <v>59</v>
      </c>
      <c r="E100" s="10" t="s">
        <v>62</v>
      </c>
      <c r="F100" s="10" t="s">
        <v>43</v>
      </c>
      <c r="G100" s="12">
        <v>4.0599999999999996</v>
      </c>
      <c r="H100" s="12">
        <v>3.85</v>
      </c>
      <c r="I100" s="12">
        <v>4.2200000000000006</v>
      </c>
      <c r="J100" s="11">
        <v>5</v>
      </c>
      <c r="K100" s="10" t="s">
        <v>157</v>
      </c>
      <c r="L100" s="11">
        <v>2000</v>
      </c>
      <c r="M100" s="10" t="s">
        <v>158</v>
      </c>
      <c r="N100" s="11">
        <v>406</v>
      </c>
      <c r="O100" s="10" t="s">
        <v>159</v>
      </c>
    </row>
    <row r="101" spans="1:15" ht="32.1" customHeight="1" x14ac:dyDescent="0.25">
      <c r="A101" s="10" t="s">
        <v>56</v>
      </c>
      <c r="B101" s="10" t="s">
        <v>94</v>
      </c>
      <c r="C101" s="10" t="s">
        <v>59</v>
      </c>
      <c r="D101" s="10" t="s">
        <v>59</v>
      </c>
      <c r="E101" s="10" t="s">
        <v>62</v>
      </c>
      <c r="F101" s="10" t="s">
        <v>46</v>
      </c>
      <c r="G101" s="12">
        <v>1.4319924898595391</v>
      </c>
      <c r="H101" s="12">
        <v>0.71449067431850788</v>
      </c>
      <c r="I101" s="12">
        <v>2.1292665214233839</v>
      </c>
      <c r="J101" s="11">
        <v>5</v>
      </c>
      <c r="K101" s="10" t="s">
        <v>157</v>
      </c>
      <c r="L101" s="11">
        <v>2000</v>
      </c>
      <c r="M101" s="10" t="s">
        <v>158</v>
      </c>
      <c r="N101" s="11">
        <v>406</v>
      </c>
      <c r="O101" s="10" t="s">
        <v>159</v>
      </c>
    </row>
    <row r="102" spans="1:15" ht="32.1" customHeight="1" x14ac:dyDescent="0.25">
      <c r="A102" s="10" t="s">
        <v>56</v>
      </c>
      <c r="B102" s="10" t="s">
        <v>94</v>
      </c>
      <c r="C102" s="10" t="s">
        <v>59</v>
      </c>
      <c r="D102" s="10" t="s">
        <v>59</v>
      </c>
      <c r="E102" s="10" t="s">
        <v>63</v>
      </c>
      <c r="F102" s="10" t="s">
        <v>34</v>
      </c>
      <c r="G102" s="12">
        <v>60.06855403450669</v>
      </c>
      <c r="H102" s="12">
        <v>56.15609348085404</v>
      </c>
      <c r="I102" s="12">
        <v>63.3181707681725</v>
      </c>
      <c r="J102" s="11">
        <v>5</v>
      </c>
      <c r="K102" s="10" t="s">
        <v>157</v>
      </c>
      <c r="L102" s="11">
        <v>2000</v>
      </c>
      <c r="M102" s="10" t="s">
        <v>158</v>
      </c>
      <c r="N102" s="11">
        <v>2909</v>
      </c>
      <c r="O102" s="10" t="s">
        <v>159</v>
      </c>
    </row>
    <row r="103" spans="1:15" ht="32.1" customHeight="1" x14ac:dyDescent="0.25">
      <c r="A103" s="10" t="s">
        <v>56</v>
      </c>
      <c r="B103" s="10" t="s">
        <v>94</v>
      </c>
      <c r="C103" s="10" t="s">
        <v>59</v>
      </c>
      <c r="D103" s="10" t="s">
        <v>59</v>
      </c>
      <c r="E103" s="10" t="s">
        <v>63</v>
      </c>
      <c r="F103" s="10" t="s">
        <v>35</v>
      </c>
      <c r="G103" s="12">
        <v>117.4861880554125</v>
      </c>
      <c r="H103" s="12">
        <v>109.2201622617755</v>
      </c>
      <c r="I103" s="12">
        <v>124.88960611223921</v>
      </c>
      <c r="J103" s="11">
        <v>5</v>
      </c>
      <c r="K103" s="10" t="s">
        <v>157</v>
      </c>
      <c r="L103" s="11">
        <v>2000</v>
      </c>
      <c r="M103" s="10" t="s">
        <v>158</v>
      </c>
      <c r="N103" s="11">
        <v>2909</v>
      </c>
      <c r="O103" s="10" t="s">
        <v>159</v>
      </c>
    </row>
    <row r="104" spans="1:15" ht="32.1" customHeight="1" x14ac:dyDescent="0.25">
      <c r="A104" s="10" t="s">
        <v>56</v>
      </c>
      <c r="B104" s="10" t="s">
        <v>94</v>
      </c>
      <c r="C104" s="10" t="s">
        <v>59</v>
      </c>
      <c r="D104" s="10" t="s">
        <v>59</v>
      </c>
      <c r="E104" s="10" t="s">
        <v>63</v>
      </c>
      <c r="F104" s="10" t="s">
        <v>36</v>
      </c>
      <c r="G104" s="12">
        <v>153.8982783169418</v>
      </c>
      <c r="H104" s="12">
        <v>147.63073738478289</v>
      </c>
      <c r="I104" s="12">
        <v>159.6075680226698</v>
      </c>
      <c r="J104" s="11">
        <v>5</v>
      </c>
      <c r="K104" s="10" t="s">
        <v>157</v>
      </c>
      <c r="L104" s="11">
        <v>2000</v>
      </c>
      <c r="M104" s="10" t="s">
        <v>158</v>
      </c>
      <c r="N104" s="11">
        <v>2909</v>
      </c>
      <c r="O104" s="10" t="s">
        <v>159</v>
      </c>
    </row>
    <row r="105" spans="1:15" ht="32.1" customHeight="1" x14ac:dyDescent="0.25">
      <c r="A105" s="10" t="s">
        <v>56</v>
      </c>
      <c r="B105" s="10" t="s">
        <v>94</v>
      </c>
      <c r="C105" s="10" t="s">
        <v>59</v>
      </c>
      <c r="D105" s="10" t="s">
        <v>59</v>
      </c>
      <c r="E105" s="10" t="s">
        <v>63</v>
      </c>
      <c r="F105" s="10" t="s">
        <v>33</v>
      </c>
      <c r="G105" s="12">
        <v>65.150992014144094</v>
      </c>
      <c r="H105" s="12">
        <v>61.097886199156129</v>
      </c>
      <c r="I105" s="12">
        <v>69.204097829132067</v>
      </c>
      <c r="J105" s="11">
        <v>5</v>
      </c>
      <c r="K105" s="10" t="s">
        <v>157</v>
      </c>
      <c r="L105" s="11">
        <v>2000</v>
      </c>
      <c r="M105" s="10" t="s">
        <v>158</v>
      </c>
      <c r="N105" s="11">
        <v>2909</v>
      </c>
      <c r="O105" s="10" t="s">
        <v>159</v>
      </c>
    </row>
    <row r="106" spans="1:15" ht="32.1" customHeight="1" x14ac:dyDescent="0.25">
      <c r="A106" s="10" t="s">
        <v>56</v>
      </c>
      <c r="B106" s="10" t="s">
        <v>94</v>
      </c>
      <c r="C106" s="10" t="s">
        <v>59</v>
      </c>
      <c r="D106" s="10" t="s">
        <v>59</v>
      </c>
      <c r="E106" s="10" t="s">
        <v>63</v>
      </c>
      <c r="F106" s="10" t="s">
        <v>43</v>
      </c>
      <c r="G106" s="12">
        <v>29.09</v>
      </c>
      <c r="H106" s="12">
        <v>28.6</v>
      </c>
      <c r="I106" s="12">
        <v>29.63</v>
      </c>
      <c r="J106" s="11">
        <v>5</v>
      </c>
      <c r="K106" s="10" t="s">
        <v>157</v>
      </c>
      <c r="L106" s="11">
        <v>2000</v>
      </c>
      <c r="M106" s="10" t="s">
        <v>158</v>
      </c>
      <c r="N106" s="11">
        <v>2909</v>
      </c>
      <c r="O106" s="10" t="s">
        <v>159</v>
      </c>
    </row>
    <row r="107" spans="1:15" ht="32.1" customHeight="1" x14ac:dyDescent="0.25">
      <c r="A107" s="10" t="s">
        <v>56</v>
      </c>
      <c r="B107" s="10" t="s">
        <v>94</v>
      </c>
      <c r="C107" s="10" t="s">
        <v>59</v>
      </c>
      <c r="D107" s="10" t="s">
        <v>59</v>
      </c>
      <c r="E107" s="10" t="s">
        <v>63</v>
      </c>
      <c r="F107" s="10" t="s">
        <v>46</v>
      </c>
      <c r="G107" s="12">
        <v>1.539528882089769</v>
      </c>
      <c r="H107" s="12">
        <v>1.0459551939559359</v>
      </c>
      <c r="I107" s="12">
        <v>2.1349720472091578</v>
      </c>
      <c r="J107" s="11">
        <v>5</v>
      </c>
      <c r="K107" s="10" t="s">
        <v>157</v>
      </c>
      <c r="L107" s="11">
        <v>2000</v>
      </c>
      <c r="M107" s="10" t="s">
        <v>158</v>
      </c>
      <c r="N107" s="11">
        <v>2909</v>
      </c>
      <c r="O107" s="10" t="s">
        <v>159</v>
      </c>
    </row>
    <row r="108" spans="1:15" ht="32.1" customHeight="1" x14ac:dyDescent="0.25">
      <c r="A108" s="10" t="s">
        <v>56</v>
      </c>
      <c r="B108" s="10" t="s">
        <v>94</v>
      </c>
      <c r="C108" s="10" t="s">
        <v>59</v>
      </c>
      <c r="D108" s="10" t="s">
        <v>59</v>
      </c>
      <c r="E108" s="10" t="s">
        <v>64</v>
      </c>
      <c r="F108" s="10" t="s">
        <v>34</v>
      </c>
      <c r="G108" s="12">
        <v>91.290863343461723</v>
      </c>
      <c r="H108" s="12">
        <v>85.408684403860164</v>
      </c>
      <c r="I108" s="12">
        <v>97.173042283063296</v>
      </c>
      <c r="J108" s="11">
        <v>5</v>
      </c>
      <c r="K108" s="10" t="s">
        <v>157</v>
      </c>
      <c r="L108" s="11">
        <v>2000</v>
      </c>
      <c r="M108" s="10" t="s">
        <v>158</v>
      </c>
      <c r="N108" s="11">
        <v>835</v>
      </c>
      <c r="O108" s="10" t="s">
        <v>159</v>
      </c>
    </row>
    <row r="109" spans="1:15" ht="32.1" customHeight="1" x14ac:dyDescent="0.25">
      <c r="A109" s="10" t="s">
        <v>56</v>
      </c>
      <c r="B109" s="10" t="s">
        <v>94</v>
      </c>
      <c r="C109" s="10" t="s">
        <v>59</v>
      </c>
      <c r="D109" s="10" t="s">
        <v>59</v>
      </c>
      <c r="E109" s="10" t="s">
        <v>64</v>
      </c>
      <c r="F109" s="10" t="s">
        <v>35</v>
      </c>
      <c r="G109" s="12">
        <v>171.79389202002309</v>
      </c>
      <c r="H109" s="12">
        <v>159.94053968894599</v>
      </c>
      <c r="I109" s="12">
        <v>185.32695564472641</v>
      </c>
      <c r="J109" s="11">
        <v>5</v>
      </c>
      <c r="K109" s="10" t="s">
        <v>157</v>
      </c>
      <c r="L109" s="11">
        <v>2000</v>
      </c>
      <c r="M109" s="10" t="s">
        <v>158</v>
      </c>
      <c r="N109" s="11">
        <v>835</v>
      </c>
      <c r="O109" s="10" t="s">
        <v>159</v>
      </c>
    </row>
    <row r="110" spans="1:15" ht="32.1" customHeight="1" x14ac:dyDescent="0.25">
      <c r="A110" s="10" t="s">
        <v>56</v>
      </c>
      <c r="B110" s="10" t="s">
        <v>94</v>
      </c>
      <c r="C110" s="10" t="s">
        <v>59</v>
      </c>
      <c r="D110" s="10" t="s">
        <v>59</v>
      </c>
      <c r="E110" s="10" t="s">
        <v>64</v>
      </c>
      <c r="F110" s="10" t="s">
        <v>36</v>
      </c>
      <c r="G110" s="12">
        <v>325.30008098944381</v>
      </c>
      <c r="H110" s="12">
        <v>209.0937023553513</v>
      </c>
      <c r="I110" s="12">
        <v>471.42511657284558</v>
      </c>
      <c r="J110" s="11">
        <v>5</v>
      </c>
      <c r="K110" s="10" t="s">
        <v>157</v>
      </c>
      <c r="L110" s="11">
        <v>2000</v>
      </c>
      <c r="M110" s="10" t="s">
        <v>158</v>
      </c>
      <c r="N110" s="11">
        <v>835</v>
      </c>
      <c r="O110" s="10" t="s">
        <v>159</v>
      </c>
    </row>
    <row r="111" spans="1:15" ht="32.1" customHeight="1" x14ac:dyDescent="0.25">
      <c r="A111" s="10" t="s">
        <v>56</v>
      </c>
      <c r="B111" s="10" t="s">
        <v>94</v>
      </c>
      <c r="C111" s="10" t="s">
        <v>59</v>
      </c>
      <c r="D111" s="10" t="s">
        <v>59</v>
      </c>
      <c r="E111" s="10" t="s">
        <v>64</v>
      </c>
      <c r="F111" s="10" t="s">
        <v>33</v>
      </c>
      <c r="G111" s="12">
        <v>100.45258111787901</v>
      </c>
      <c r="H111" s="12">
        <v>92.421877939378604</v>
      </c>
      <c r="I111" s="12">
        <v>108.14942249175139</v>
      </c>
      <c r="J111" s="11">
        <v>5</v>
      </c>
      <c r="K111" s="10" t="s">
        <v>157</v>
      </c>
      <c r="L111" s="11">
        <v>2000</v>
      </c>
      <c r="M111" s="10" t="s">
        <v>158</v>
      </c>
      <c r="N111" s="11">
        <v>835</v>
      </c>
      <c r="O111" s="10" t="s">
        <v>159</v>
      </c>
    </row>
    <row r="112" spans="1:15" ht="32.1" customHeight="1" x14ac:dyDescent="0.25">
      <c r="A112" s="10" t="s">
        <v>56</v>
      </c>
      <c r="B112" s="10" t="s">
        <v>94</v>
      </c>
      <c r="C112" s="10" t="s">
        <v>59</v>
      </c>
      <c r="D112" s="10" t="s">
        <v>59</v>
      </c>
      <c r="E112" s="10" t="s">
        <v>64</v>
      </c>
      <c r="F112" s="10" t="s">
        <v>43</v>
      </c>
      <c r="G112" s="12">
        <v>8.35</v>
      </c>
      <c r="H112" s="12">
        <v>7.910000000000001</v>
      </c>
      <c r="I112" s="12">
        <v>8.7900000000000009</v>
      </c>
      <c r="J112" s="11">
        <v>5</v>
      </c>
      <c r="K112" s="10" t="s">
        <v>157</v>
      </c>
      <c r="L112" s="11">
        <v>2000</v>
      </c>
      <c r="M112" s="10" t="s">
        <v>158</v>
      </c>
      <c r="N112" s="11">
        <v>835</v>
      </c>
      <c r="O112" s="10" t="s">
        <v>159</v>
      </c>
    </row>
    <row r="113" spans="1:15" ht="32.1" customHeight="1" x14ac:dyDescent="0.25">
      <c r="A113" s="10" t="s">
        <v>56</v>
      </c>
      <c r="B113" s="10" t="s">
        <v>94</v>
      </c>
      <c r="C113" s="10" t="s">
        <v>59</v>
      </c>
      <c r="D113" s="10" t="s">
        <v>59</v>
      </c>
      <c r="E113" s="10" t="s">
        <v>64</v>
      </c>
      <c r="F113" s="10" t="s">
        <v>46</v>
      </c>
      <c r="G113" s="12">
        <v>1.08549798001641</v>
      </c>
      <c r="H113" s="12">
        <v>0.47904191616766462</v>
      </c>
      <c r="I113" s="12">
        <v>1.6757756318060411</v>
      </c>
      <c r="J113" s="11">
        <v>5</v>
      </c>
      <c r="K113" s="10" t="s">
        <v>157</v>
      </c>
      <c r="L113" s="11">
        <v>2000</v>
      </c>
      <c r="M113" s="10" t="s">
        <v>158</v>
      </c>
      <c r="N113" s="11">
        <v>835</v>
      </c>
      <c r="O113" s="10" t="s">
        <v>159</v>
      </c>
    </row>
    <row r="114" spans="1:15" ht="32.1" customHeight="1" x14ac:dyDescent="0.25">
      <c r="A114" s="10" t="s">
        <v>56</v>
      </c>
      <c r="B114" s="10" t="s">
        <v>94</v>
      </c>
      <c r="C114" s="10" t="s">
        <v>3</v>
      </c>
      <c r="D114" s="10" t="s">
        <v>77</v>
      </c>
      <c r="E114" s="10" t="s">
        <v>5</v>
      </c>
      <c r="F114" s="10" t="s">
        <v>34</v>
      </c>
      <c r="G114" s="12">
        <v>42.872133020295017</v>
      </c>
      <c r="H114" s="12">
        <v>39.769147823495672</v>
      </c>
      <c r="I114" s="12">
        <v>45.975118217094384</v>
      </c>
      <c r="J114" s="11">
        <v>4</v>
      </c>
      <c r="K114" s="10" t="s">
        <v>157</v>
      </c>
      <c r="L114" s="11">
        <v>2000</v>
      </c>
      <c r="M114" s="10" t="s">
        <v>160</v>
      </c>
      <c r="N114" s="11">
        <v>3600</v>
      </c>
      <c r="O114" s="10" t="s">
        <v>159</v>
      </c>
    </row>
    <row r="115" spans="1:15" ht="32.1" customHeight="1" x14ac:dyDescent="0.25">
      <c r="A115" s="10" t="s">
        <v>56</v>
      </c>
      <c r="B115" s="10" t="s">
        <v>94</v>
      </c>
      <c r="C115" s="10" t="s">
        <v>3</v>
      </c>
      <c r="D115" s="10" t="s">
        <v>77</v>
      </c>
      <c r="E115" s="10" t="s">
        <v>5</v>
      </c>
      <c r="F115" s="10" t="s">
        <v>35</v>
      </c>
      <c r="G115" s="12">
        <v>126.1045352024139</v>
      </c>
      <c r="H115" s="12">
        <v>117.34680346907319</v>
      </c>
      <c r="I115" s="12">
        <v>139.62313689262189</v>
      </c>
      <c r="J115" s="11">
        <v>4</v>
      </c>
      <c r="K115" s="10" t="s">
        <v>157</v>
      </c>
      <c r="L115" s="11">
        <v>2000</v>
      </c>
      <c r="M115" s="10" t="s">
        <v>160</v>
      </c>
      <c r="N115" s="11">
        <v>3600</v>
      </c>
      <c r="O115" s="10" t="s">
        <v>159</v>
      </c>
    </row>
    <row r="116" spans="1:15" ht="32.1" customHeight="1" x14ac:dyDescent="0.25">
      <c r="A116" s="10" t="s">
        <v>56</v>
      </c>
      <c r="B116" s="10" t="s">
        <v>94</v>
      </c>
      <c r="C116" s="10" t="s">
        <v>3</v>
      </c>
      <c r="D116" s="10" t="s">
        <v>77</v>
      </c>
      <c r="E116" s="10" t="s">
        <v>5</v>
      </c>
      <c r="F116" s="10" t="s">
        <v>36</v>
      </c>
      <c r="G116" s="12">
        <v>223.31917233955491</v>
      </c>
      <c r="H116" s="12">
        <v>184.1822203577529</v>
      </c>
      <c r="I116" s="12">
        <v>287.17408227529768</v>
      </c>
      <c r="J116" s="11">
        <v>4</v>
      </c>
      <c r="K116" s="10" t="s">
        <v>157</v>
      </c>
      <c r="L116" s="11">
        <v>2000</v>
      </c>
      <c r="M116" s="10" t="s">
        <v>160</v>
      </c>
      <c r="N116" s="11">
        <v>3600</v>
      </c>
      <c r="O116" s="10" t="s">
        <v>159</v>
      </c>
    </row>
    <row r="117" spans="1:15" ht="32.1" customHeight="1" x14ac:dyDescent="0.25">
      <c r="A117" s="10" t="s">
        <v>56</v>
      </c>
      <c r="B117" s="10" t="s">
        <v>94</v>
      </c>
      <c r="C117" s="10" t="s">
        <v>3</v>
      </c>
      <c r="D117" s="10" t="s">
        <v>77</v>
      </c>
      <c r="E117" s="10" t="s">
        <v>5</v>
      </c>
      <c r="F117" s="10" t="s">
        <v>33</v>
      </c>
      <c r="G117" s="12">
        <v>55.486260619120429</v>
      </c>
      <c r="H117" s="12">
        <v>51.031918139389447</v>
      </c>
      <c r="I117" s="12">
        <v>61.063342624995222</v>
      </c>
      <c r="J117" s="11">
        <v>4</v>
      </c>
      <c r="K117" s="10" t="s">
        <v>157</v>
      </c>
      <c r="L117" s="11">
        <v>2000</v>
      </c>
      <c r="M117" s="10" t="s">
        <v>160</v>
      </c>
      <c r="N117" s="11">
        <v>3600</v>
      </c>
      <c r="O117" s="10" t="s">
        <v>159</v>
      </c>
    </row>
    <row r="118" spans="1:15" ht="32.1" customHeight="1" x14ac:dyDescent="0.25">
      <c r="A118" s="10" t="s">
        <v>56</v>
      </c>
      <c r="B118" s="10" t="s">
        <v>94</v>
      </c>
      <c r="C118" s="10" t="s">
        <v>3</v>
      </c>
      <c r="D118" s="10" t="s">
        <v>77</v>
      </c>
      <c r="E118" s="10" t="s">
        <v>5</v>
      </c>
      <c r="F118" s="10" t="s">
        <v>43</v>
      </c>
      <c r="G118" s="12">
        <v>49.888888888888893</v>
      </c>
      <c r="H118" s="12">
        <v>49.847222222222229</v>
      </c>
      <c r="I118" s="12">
        <v>49.930555555555557</v>
      </c>
      <c r="J118" s="11">
        <v>4</v>
      </c>
      <c r="K118" s="10" t="s">
        <v>157</v>
      </c>
      <c r="L118" s="11">
        <v>2000</v>
      </c>
      <c r="M118" s="10" t="s">
        <v>160</v>
      </c>
      <c r="N118" s="11">
        <v>3600</v>
      </c>
      <c r="O118" s="10" t="s">
        <v>159</v>
      </c>
    </row>
    <row r="119" spans="1:15" ht="32.1" customHeight="1" x14ac:dyDescent="0.25">
      <c r="A119" s="10" t="s">
        <v>56</v>
      </c>
      <c r="B119" s="10" t="s">
        <v>94</v>
      </c>
      <c r="C119" s="10" t="s">
        <v>3</v>
      </c>
      <c r="D119" s="10" t="s">
        <v>77</v>
      </c>
      <c r="E119" s="10" t="s">
        <v>5</v>
      </c>
      <c r="F119" s="10" t="s">
        <v>46</v>
      </c>
      <c r="G119" s="12">
        <v>0.97222222222222221</v>
      </c>
      <c r="H119" s="12">
        <v>0.69444444444444442</v>
      </c>
      <c r="I119" s="12">
        <v>1.2222222222222221</v>
      </c>
      <c r="J119" s="11">
        <v>4</v>
      </c>
      <c r="K119" s="10" t="s">
        <v>157</v>
      </c>
      <c r="L119" s="11">
        <v>2000</v>
      </c>
      <c r="M119" s="10" t="s">
        <v>160</v>
      </c>
      <c r="N119" s="11">
        <v>3600</v>
      </c>
      <c r="O119" s="10" t="s">
        <v>159</v>
      </c>
    </row>
    <row r="120" spans="1:15" ht="32.1" customHeight="1" x14ac:dyDescent="0.25">
      <c r="A120" s="10" t="s">
        <v>56</v>
      </c>
      <c r="B120" s="10" t="s">
        <v>94</v>
      </c>
      <c r="C120" s="10" t="s">
        <v>3</v>
      </c>
      <c r="D120" s="10" t="s">
        <v>77</v>
      </c>
      <c r="E120" s="10" t="s">
        <v>62</v>
      </c>
      <c r="F120" s="10" t="s">
        <v>34</v>
      </c>
      <c r="G120" s="12">
        <v>119.1857893505383</v>
      </c>
      <c r="H120" s="12">
        <v>110.45707941980849</v>
      </c>
      <c r="I120" s="12">
        <v>127.91449928126821</v>
      </c>
      <c r="J120" s="11">
        <v>4</v>
      </c>
      <c r="K120" s="10" t="s">
        <v>157</v>
      </c>
      <c r="L120" s="11">
        <v>2000</v>
      </c>
      <c r="M120" s="10" t="s">
        <v>160</v>
      </c>
      <c r="N120" s="11">
        <v>362</v>
      </c>
      <c r="O120" s="10" t="s">
        <v>159</v>
      </c>
    </row>
    <row r="121" spans="1:15" ht="32.1" customHeight="1" x14ac:dyDescent="0.25">
      <c r="A121" s="10" t="s">
        <v>56</v>
      </c>
      <c r="B121" s="10" t="s">
        <v>94</v>
      </c>
      <c r="C121" s="10" t="s">
        <v>3</v>
      </c>
      <c r="D121" s="10" t="s">
        <v>77</v>
      </c>
      <c r="E121" s="10" t="s">
        <v>62</v>
      </c>
      <c r="F121" s="10" t="s">
        <v>35</v>
      </c>
      <c r="G121" s="12">
        <v>221.57661793705529</v>
      </c>
      <c r="H121" s="12">
        <v>205.8003184221958</v>
      </c>
      <c r="I121" s="12">
        <v>235.61948530934001</v>
      </c>
      <c r="J121" s="11">
        <v>4</v>
      </c>
      <c r="K121" s="10" t="s">
        <v>157</v>
      </c>
      <c r="L121" s="11">
        <v>2000</v>
      </c>
      <c r="M121" s="10" t="s">
        <v>160</v>
      </c>
      <c r="N121" s="11">
        <v>362</v>
      </c>
      <c r="O121" s="10" t="s">
        <v>159</v>
      </c>
    </row>
    <row r="122" spans="1:15" ht="32.1" customHeight="1" x14ac:dyDescent="0.25">
      <c r="A122" s="10" t="s">
        <v>56</v>
      </c>
      <c r="B122" s="10" t="s">
        <v>94</v>
      </c>
      <c r="C122" s="10" t="s">
        <v>3</v>
      </c>
      <c r="D122" s="10" t="s">
        <v>77</v>
      </c>
      <c r="E122" s="10" t="s">
        <v>62</v>
      </c>
      <c r="F122" s="10" t="s">
        <v>36</v>
      </c>
      <c r="G122" s="12">
        <v>359.37226853216839</v>
      </c>
      <c r="H122" s="12">
        <v>265.35387420208389</v>
      </c>
      <c r="I122" s="12">
        <v>481.64340497220758</v>
      </c>
      <c r="J122" s="11">
        <v>4</v>
      </c>
      <c r="K122" s="10" t="s">
        <v>157</v>
      </c>
      <c r="L122" s="11">
        <v>2000</v>
      </c>
      <c r="M122" s="10" t="s">
        <v>160</v>
      </c>
      <c r="N122" s="11">
        <v>362</v>
      </c>
      <c r="O122" s="10" t="s">
        <v>159</v>
      </c>
    </row>
    <row r="123" spans="1:15" ht="32.1" customHeight="1" x14ac:dyDescent="0.25">
      <c r="A123" s="10" t="s">
        <v>56</v>
      </c>
      <c r="B123" s="10" t="s">
        <v>94</v>
      </c>
      <c r="C123" s="10" t="s">
        <v>3</v>
      </c>
      <c r="D123" s="10" t="s">
        <v>77</v>
      </c>
      <c r="E123" s="10" t="s">
        <v>62</v>
      </c>
      <c r="F123" s="10" t="s">
        <v>33</v>
      </c>
      <c r="G123" s="12">
        <v>130.0116842070388</v>
      </c>
      <c r="H123" s="12">
        <v>119.18189005380511</v>
      </c>
      <c r="I123" s="12">
        <v>140.84147836027259</v>
      </c>
      <c r="J123" s="11">
        <v>4</v>
      </c>
      <c r="K123" s="10" t="s">
        <v>157</v>
      </c>
      <c r="L123" s="11">
        <v>2000</v>
      </c>
      <c r="M123" s="10" t="s">
        <v>160</v>
      </c>
      <c r="N123" s="11">
        <v>362</v>
      </c>
      <c r="O123" s="10" t="s">
        <v>159</v>
      </c>
    </row>
    <row r="124" spans="1:15" ht="32.1" customHeight="1" x14ac:dyDescent="0.25">
      <c r="A124" s="10" t="s">
        <v>56</v>
      </c>
      <c r="B124" s="10" t="s">
        <v>94</v>
      </c>
      <c r="C124" s="10" t="s">
        <v>3</v>
      </c>
      <c r="D124" s="10" t="s">
        <v>77</v>
      </c>
      <c r="E124" s="10" t="s">
        <v>62</v>
      </c>
      <c r="F124" s="10" t="s">
        <v>43</v>
      </c>
      <c r="G124" s="12">
        <v>5</v>
      </c>
      <c r="H124" s="12">
        <v>4.2222222222222223</v>
      </c>
      <c r="I124" s="12">
        <v>5.6388888888888893</v>
      </c>
      <c r="J124" s="11">
        <v>4</v>
      </c>
      <c r="K124" s="10" t="s">
        <v>157</v>
      </c>
      <c r="L124" s="11">
        <v>2000</v>
      </c>
      <c r="M124" s="10" t="s">
        <v>160</v>
      </c>
      <c r="N124" s="11">
        <v>362</v>
      </c>
      <c r="O124" s="10" t="s">
        <v>159</v>
      </c>
    </row>
    <row r="125" spans="1:15" ht="32.1" customHeight="1" x14ac:dyDescent="0.25">
      <c r="A125" s="10" t="s">
        <v>56</v>
      </c>
      <c r="B125" s="10" t="s">
        <v>94</v>
      </c>
      <c r="C125" s="10" t="s">
        <v>3</v>
      </c>
      <c r="D125" s="10" t="s">
        <v>77</v>
      </c>
      <c r="E125" s="10" t="s">
        <v>62</v>
      </c>
      <c r="F125" s="10" t="s">
        <v>46</v>
      </c>
      <c r="G125" s="12">
        <v>0.46728971962616822</v>
      </c>
      <c r="H125" s="12">
        <v>0</v>
      </c>
      <c r="I125" s="12">
        <v>1.4018691588785051</v>
      </c>
      <c r="J125" s="11">
        <v>4</v>
      </c>
      <c r="K125" s="10" t="s">
        <v>157</v>
      </c>
      <c r="L125" s="11">
        <v>2000</v>
      </c>
      <c r="M125" s="10" t="s">
        <v>160</v>
      </c>
      <c r="N125" s="11">
        <v>362</v>
      </c>
      <c r="O125" s="10" t="s">
        <v>159</v>
      </c>
    </row>
    <row r="126" spans="1:15" ht="32.1" customHeight="1" x14ac:dyDescent="0.25">
      <c r="A126" s="10" t="s">
        <v>56</v>
      </c>
      <c r="B126" s="10" t="s">
        <v>94</v>
      </c>
      <c r="C126" s="10" t="s">
        <v>3</v>
      </c>
      <c r="D126" s="10" t="s">
        <v>77</v>
      </c>
      <c r="E126" s="10" t="s">
        <v>63</v>
      </c>
      <c r="F126" s="10" t="s">
        <v>34</v>
      </c>
      <c r="G126" s="12">
        <v>37.419659519853582</v>
      </c>
      <c r="H126" s="12">
        <v>34.243102128812339</v>
      </c>
      <c r="I126" s="12">
        <v>40.596216910894817</v>
      </c>
      <c r="J126" s="11">
        <v>4</v>
      </c>
      <c r="K126" s="10" t="s">
        <v>157</v>
      </c>
      <c r="L126" s="11">
        <v>2000</v>
      </c>
      <c r="M126" s="10" t="s">
        <v>160</v>
      </c>
      <c r="N126" s="11">
        <v>2500</v>
      </c>
      <c r="O126" s="10" t="s">
        <v>159</v>
      </c>
    </row>
    <row r="127" spans="1:15" ht="32.1" customHeight="1" x14ac:dyDescent="0.25">
      <c r="A127" s="10" t="s">
        <v>56</v>
      </c>
      <c r="B127" s="10" t="s">
        <v>94</v>
      </c>
      <c r="C127" s="10" t="s">
        <v>3</v>
      </c>
      <c r="D127" s="10" t="s">
        <v>77</v>
      </c>
      <c r="E127" s="10" t="s">
        <v>63</v>
      </c>
      <c r="F127" s="10" t="s">
        <v>35</v>
      </c>
      <c r="G127" s="12">
        <v>69.95558304388797</v>
      </c>
      <c r="H127" s="12">
        <v>65.09696878921946</v>
      </c>
      <c r="I127" s="12">
        <v>74.019207434757732</v>
      </c>
      <c r="J127" s="11">
        <v>4</v>
      </c>
      <c r="K127" s="10" t="s">
        <v>157</v>
      </c>
      <c r="L127" s="11">
        <v>2000</v>
      </c>
      <c r="M127" s="10" t="s">
        <v>160</v>
      </c>
      <c r="N127" s="11">
        <v>2500</v>
      </c>
      <c r="O127" s="10" t="s">
        <v>159</v>
      </c>
    </row>
    <row r="128" spans="1:15" ht="32.1" customHeight="1" x14ac:dyDescent="0.25">
      <c r="A128" s="10" t="s">
        <v>56</v>
      </c>
      <c r="B128" s="10" t="s">
        <v>94</v>
      </c>
      <c r="C128" s="10" t="s">
        <v>3</v>
      </c>
      <c r="D128" s="10" t="s">
        <v>77</v>
      </c>
      <c r="E128" s="10" t="s">
        <v>63</v>
      </c>
      <c r="F128" s="10" t="s">
        <v>36</v>
      </c>
      <c r="G128" s="12">
        <v>90.719241091472796</v>
      </c>
      <c r="H128" s="12">
        <v>84.437366511349097</v>
      </c>
      <c r="I128" s="12">
        <v>96.472269865440921</v>
      </c>
      <c r="J128" s="11">
        <v>4</v>
      </c>
      <c r="K128" s="10" t="s">
        <v>157</v>
      </c>
      <c r="L128" s="11">
        <v>2000</v>
      </c>
      <c r="M128" s="10" t="s">
        <v>160</v>
      </c>
      <c r="N128" s="11">
        <v>2500</v>
      </c>
      <c r="O128" s="10" t="s">
        <v>159</v>
      </c>
    </row>
    <row r="129" spans="1:15" ht="32.1" customHeight="1" x14ac:dyDescent="0.25">
      <c r="A129" s="10" t="s">
        <v>56</v>
      </c>
      <c r="B129" s="10" t="s">
        <v>94</v>
      </c>
      <c r="C129" s="10" t="s">
        <v>3</v>
      </c>
      <c r="D129" s="10" t="s">
        <v>77</v>
      </c>
      <c r="E129" s="10" t="s">
        <v>63</v>
      </c>
      <c r="F129" s="10" t="s">
        <v>33</v>
      </c>
      <c r="G129" s="12">
        <v>42.074025985586353</v>
      </c>
      <c r="H129" s="12">
        <v>38.766094738414367</v>
      </c>
      <c r="I129" s="12">
        <v>45.363454468854933</v>
      </c>
      <c r="J129" s="11">
        <v>4</v>
      </c>
      <c r="K129" s="10" t="s">
        <v>157</v>
      </c>
      <c r="L129" s="11">
        <v>2000</v>
      </c>
      <c r="M129" s="10" t="s">
        <v>160</v>
      </c>
      <c r="N129" s="11">
        <v>2500</v>
      </c>
      <c r="O129" s="10" t="s">
        <v>159</v>
      </c>
    </row>
    <row r="130" spans="1:15" ht="32.1" customHeight="1" x14ac:dyDescent="0.25">
      <c r="A130" s="10" t="s">
        <v>56</v>
      </c>
      <c r="B130" s="10" t="s">
        <v>94</v>
      </c>
      <c r="C130" s="10" t="s">
        <v>3</v>
      </c>
      <c r="D130" s="10" t="s">
        <v>77</v>
      </c>
      <c r="E130" s="10" t="s">
        <v>63</v>
      </c>
      <c r="F130" s="10" t="s">
        <v>43</v>
      </c>
      <c r="G130" s="12">
        <v>34.666666666666671</v>
      </c>
      <c r="H130" s="12">
        <v>34.083333333333343</v>
      </c>
      <c r="I130" s="12">
        <v>35.277777777777779</v>
      </c>
      <c r="J130" s="11">
        <v>4</v>
      </c>
      <c r="K130" s="10" t="s">
        <v>157</v>
      </c>
      <c r="L130" s="11">
        <v>2000</v>
      </c>
      <c r="M130" s="10" t="s">
        <v>160</v>
      </c>
      <c r="N130" s="11">
        <v>2500</v>
      </c>
      <c r="O130" s="10" t="s">
        <v>159</v>
      </c>
    </row>
    <row r="131" spans="1:15" ht="32.1" customHeight="1" x14ac:dyDescent="0.25">
      <c r="A131" s="10" t="s">
        <v>56</v>
      </c>
      <c r="B131" s="10" t="s">
        <v>94</v>
      </c>
      <c r="C131" s="10" t="s">
        <v>3</v>
      </c>
      <c r="D131" s="10" t="s">
        <v>77</v>
      </c>
      <c r="E131" s="10" t="s">
        <v>63</v>
      </c>
      <c r="F131" s="10" t="s">
        <v>46</v>
      </c>
      <c r="G131" s="12">
        <v>0.96406917500290024</v>
      </c>
      <c r="H131" s="12">
        <v>0.63336604267310781</v>
      </c>
      <c r="I131" s="12">
        <v>1.1379095562250461</v>
      </c>
      <c r="J131" s="11">
        <v>4</v>
      </c>
      <c r="K131" s="10" t="s">
        <v>157</v>
      </c>
      <c r="L131" s="11">
        <v>2000</v>
      </c>
      <c r="M131" s="10" t="s">
        <v>160</v>
      </c>
      <c r="N131" s="11">
        <v>2500</v>
      </c>
      <c r="O131" s="10" t="s">
        <v>159</v>
      </c>
    </row>
    <row r="132" spans="1:15" ht="32.1" customHeight="1" x14ac:dyDescent="0.25">
      <c r="A132" s="10" t="s">
        <v>56</v>
      </c>
      <c r="B132" s="10" t="s">
        <v>94</v>
      </c>
      <c r="C132" s="10" t="s">
        <v>3</v>
      </c>
      <c r="D132" s="10" t="s">
        <v>77</v>
      </c>
      <c r="E132" s="10" t="s">
        <v>64</v>
      </c>
      <c r="F132" s="10" t="s">
        <v>34</v>
      </c>
      <c r="G132" s="12">
        <v>56.803443495874873</v>
      </c>
      <c r="H132" s="12">
        <v>52.792327317714893</v>
      </c>
      <c r="I132" s="12">
        <v>61.805100986695109</v>
      </c>
      <c r="J132" s="11">
        <v>4</v>
      </c>
      <c r="K132" s="10" t="s">
        <v>157</v>
      </c>
      <c r="L132" s="11">
        <v>2000</v>
      </c>
      <c r="M132" s="10" t="s">
        <v>160</v>
      </c>
      <c r="N132" s="11">
        <v>738</v>
      </c>
      <c r="O132" s="10" t="s">
        <v>159</v>
      </c>
    </row>
    <row r="133" spans="1:15" ht="32.1" customHeight="1" x14ac:dyDescent="0.25">
      <c r="A133" s="10" t="s">
        <v>56</v>
      </c>
      <c r="B133" s="10" t="s">
        <v>94</v>
      </c>
      <c r="C133" s="10" t="s">
        <v>3</v>
      </c>
      <c r="D133" s="10" t="s">
        <v>77</v>
      </c>
      <c r="E133" s="10" t="s">
        <v>64</v>
      </c>
      <c r="F133" s="10" t="s">
        <v>35</v>
      </c>
      <c r="G133" s="12">
        <v>106.83300955747519</v>
      </c>
      <c r="H133" s="12">
        <v>99.435454608004704</v>
      </c>
      <c r="I133" s="12">
        <v>112.2575739933997</v>
      </c>
      <c r="J133" s="11">
        <v>4</v>
      </c>
      <c r="K133" s="10" t="s">
        <v>157</v>
      </c>
      <c r="L133" s="11">
        <v>2000</v>
      </c>
      <c r="M133" s="10" t="s">
        <v>160</v>
      </c>
      <c r="N133" s="11">
        <v>738</v>
      </c>
      <c r="O133" s="10" t="s">
        <v>159</v>
      </c>
    </row>
    <row r="134" spans="1:15" ht="32.1" customHeight="1" x14ac:dyDescent="0.25">
      <c r="A134" s="10" t="s">
        <v>56</v>
      </c>
      <c r="B134" s="10" t="s">
        <v>94</v>
      </c>
      <c r="C134" s="10" t="s">
        <v>3</v>
      </c>
      <c r="D134" s="10" t="s">
        <v>77</v>
      </c>
      <c r="E134" s="10" t="s">
        <v>64</v>
      </c>
      <c r="F134" s="10" t="s">
        <v>36</v>
      </c>
      <c r="G134" s="12">
        <v>283.10329403433798</v>
      </c>
      <c r="H134" s="12">
        <v>128.73986674191741</v>
      </c>
      <c r="I134" s="12">
        <v>587.43237986910083</v>
      </c>
      <c r="J134" s="11">
        <v>4</v>
      </c>
      <c r="K134" s="10" t="s">
        <v>157</v>
      </c>
      <c r="L134" s="11">
        <v>2000</v>
      </c>
      <c r="M134" s="10" t="s">
        <v>160</v>
      </c>
      <c r="N134" s="11">
        <v>738</v>
      </c>
      <c r="O134" s="10" t="s">
        <v>159</v>
      </c>
    </row>
    <row r="135" spans="1:15" ht="32.1" customHeight="1" x14ac:dyDescent="0.25">
      <c r="A135" s="10" t="s">
        <v>56</v>
      </c>
      <c r="B135" s="10" t="s">
        <v>94</v>
      </c>
      <c r="C135" s="10" t="s">
        <v>3</v>
      </c>
      <c r="D135" s="10" t="s">
        <v>77</v>
      </c>
      <c r="E135" s="10" t="s">
        <v>64</v>
      </c>
      <c r="F135" s="10" t="s">
        <v>33</v>
      </c>
      <c r="G135" s="12">
        <v>64.803966363707957</v>
      </c>
      <c r="H135" s="12">
        <v>56.515168686122422</v>
      </c>
      <c r="I135" s="12">
        <v>77.316361061327825</v>
      </c>
      <c r="J135" s="11">
        <v>4</v>
      </c>
      <c r="K135" s="10" t="s">
        <v>157</v>
      </c>
      <c r="L135" s="11">
        <v>2000</v>
      </c>
      <c r="M135" s="10" t="s">
        <v>160</v>
      </c>
      <c r="N135" s="11">
        <v>738</v>
      </c>
      <c r="O135" s="10" t="s">
        <v>159</v>
      </c>
    </row>
    <row r="136" spans="1:15" ht="32.1" customHeight="1" x14ac:dyDescent="0.25">
      <c r="A136" s="10" t="s">
        <v>56</v>
      </c>
      <c r="B136" s="10" t="s">
        <v>94</v>
      </c>
      <c r="C136" s="10" t="s">
        <v>3</v>
      </c>
      <c r="D136" s="10" t="s">
        <v>77</v>
      </c>
      <c r="E136" s="10" t="s">
        <v>64</v>
      </c>
      <c r="F136" s="10" t="s">
        <v>43</v>
      </c>
      <c r="G136" s="12">
        <v>10.22222222222222</v>
      </c>
      <c r="H136" s="12">
        <v>9.4583333333333321</v>
      </c>
      <c r="I136" s="12">
        <v>10.90277777777778</v>
      </c>
      <c r="J136" s="11">
        <v>4</v>
      </c>
      <c r="K136" s="10" t="s">
        <v>157</v>
      </c>
      <c r="L136" s="11">
        <v>2000</v>
      </c>
      <c r="M136" s="10" t="s">
        <v>160</v>
      </c>
      <c r="N136" s="11">
        <v>738</v>
      </c>
      <c r="O136" s="10" t="s">
        <v>159</v>
      </c>
    </row>
    <row r="137" spans="1:15" ht="32.1" customHeight="1" x14ac:dyDescent="0.25">
      <c r="A137" s="10" t="s">
        <v>56</v>
      </c>
      <c r="B137" s="10" t="s">
        <v>94</v>
      </c>
      <c r="C137" s="10" t="s">
        <v>3</v>
      </c>
      <c r="D137" s="10" t="s">
        <v>77</v>
      </c>
      <c r="E137" s="10" t="s">
        <v>64</v>
      </c>
      <c r="F137" s="10" t="s">
        <v>46</v>
      </c>
      <c r="G137" s="12">
        <v>1.173926230878312</v>
      </c>
      <c r="H137" s="12">
        <v>0.57775557775557784</v>
      </c>
      <c r="I137" s="12">
        <v>2.017186793306196</v>
      </c>
      <c r="J137" s="11">
        <v>4</v>
      </c>
      <c r="K137" s="10" t="s">
        <v>157</v>
      </c>
      <c r="L137" s="11">
        <v>2000</v>
      </c>
      <c r="M137" s="10" t="s">
        <v>160</v>
      </c>
      <c r="N137" s="11">
        <v>738</v>
      </c>
      <c r="O137" s="10" t="s">
        <v>159</v>
      </c>
    </row>
    <row r="138" spans="1:15" ht="32.1" customHeight="1" x14ac:dyDescent="0.25">
      <c r="A138" s="10" t="s">
        <v>56</v>
      </c>
      <c r="B138" s="10" t="s">
        <v>94</v>
      </c>
      <c r="C138" s="10" t="s">
        <v>3</v>
      </c>
      <c r="D138" s="10" t="s">
        <v>83</v>
      </c>
      <c r="E138" s="10" t="s">
        <v>5</v>
      </c>
      <c r="F138" s="10" t="s">
        <v>34</v>
      </c>
      <c r="G138" s="12">
        <v>38.873212149813362</v>
      </c>
      <c r="H138" s="12">
        <v>35.490810788141253</v>
      </c>
      <c r="I138" s="12">
        <v>43.113273036944904</v>
      </c>
      <c r="J138" s="11">
        <v>5</v>
      </c>
      <c r="K138" s="10" t="s">
        <v>157</v>
      </c>
      <c r="L138" s="11">
        <v>2000</v>
      </c>
      <c r="M138" s="10" t="s">
        <v>158</v>
      </c>
      <c r="N138" s="11">
        <v>450</v>
      </c>
      <c r="O138" s="10" t="s">
        <v>159</v>
      </c>
    </row>
    <row r="139" spans="1:15" ht="32.1" customHeight="1" x14ac:dyDescent="0.25">
      <c r="A139" s="10" t="s">
        <v>56</v>
      </c>
      <c r="B139" s="10" t="s">
        <v>94</v>
      </c>
      <c r="C139" s="10" t="s">
        <v>3</v>
      </c>
      <c r="D139" s="10" t="s">
        <v>83</v>
      </c>
      <c r="E139" s="10" t="s">
        <v>5</v>
      </c>
      <c r="F139" s="10" t="s">
        <v>35</v>
      </c>
      <c r="G139" s="12">
        <v>98.286554397003513</v>
      </c>
      <c r="H139" s="12">
        <v>91.152078121703099</v>
      </c>
      <c r="I139" s="12">
        <v>105.4210306723039</v>
      </c>
      <c r="J139" s="11">
        <v>5</v>
      </c>
      <c r="K139" s="10" t="s">
        <v>157</v>
      </c>
      <c r="L139" s="11">
        <v>2000</v>
      </c>
      <c r="M139" s="10" t="s">
        <v>158</v>
      </c>
      <c r="N139" s="11">
        <v>450</v>
      </c>
      <c r="O139" s="10" t="s">
        <v>159</v>
      </c>
    </row>
    <row r="140" spans="1:15" ht="32.1" customHeight="1" x14ac:dyDescent="0.25">
      <c r="A140" s="10" t="s">
        <v>56</v>
      </c>
      <c r="B140" s="10" t="s">
        <v>94</v>
      </c>
      <c r="C140" s="10" t="s">
        <v>3</v>
      </c>
      <c r="D140" s="10" t="s">
        <v>83</v>
      </c>
      <c r="E140" s="10" t="s">
        <v>5</v>
      </c>
      <c r="F140" s="10" t="s">
        <v>36</v>
      </c>
      <c r="G140" s="12">
        <v>180.92040924224739</v>
      </c>
      <c r="H140" s="12">
        <v>124.89171947560121</v>
      </c>
      <c r="I140" s="12">
        <v>238.5320242048883</v>
      </c>
      <c r="J140" s="11">
        <v>5</v>
      </c>
      <c r="K140" s="10" t="s">
        <v>157</v>
      </c>
      <c r="L140" s="11">
        <v>2000</v>
      </c>
      <c r="M140" s="10" t="s">
        <v>158</v>
      </c>
      <c r="N140" s="11">
        <v>450</v>
      </c>
      <c r="O140" s="10" t="s">
        <v>159</v>
      </c>
    </row>
    <row r="141" spans="1:15" ht="32.1" customHeight="1" x14ac:dyDescent="0.25">
      <c r="A141" s="10" t="s">
        <v>56</v>
      </c>
      <c r="B141" s="10" t="s">
        <v>94</v>
      </c>
      <c r="C141" s="10" t="s">
        <v>3</v>
      </c>
      <c r="D141" s="10" t="s">
        <v>83</v>
      </c>
      <c r="E141" s="10" t="s">
        <v>5</v>
      </c>
      <c r="F141" s="10" t="s">
        <v>33</v>
      </c>
      <c r="G141" s="12">
        <v>49.957843221399749</v>
      </c>
      <c r="H141" s="12">
        <v>43.98312157558108</v>
      </c>
      <c r="I141" s="12">
        <v>56.148662783394528</v>
      </c>
      <c r="J141" s="11">
        <v>5</v>
      </c>
      <c r="K141" s="10" t="s">
        <v>157</v>
      </c>
      <c r="L141" s="11">
        <v>2000</v>
      </c>
      <c r="M141" s="10" t="s">
        <v>158</v>
      </c>
      <c r="N141" s="11">
        <v>450</v>
      </c>
      <c r="O141" s="10" t="s">
        <v>159</v>
      </c>
    </row>
    <row r="142" spans="1:15" ht="32.1" customHeight="1" x14ac:dyDescent="0.25">
      <c r="A142" s="10" t="s">
        <v>56</v>
      </c>
      <c r="B142" s="10" t="s">
        <v>94</v>
      </c>
      <c r="C142" s="10" t="s">
        <v>3</v>
      </c>
      <c r="D142" s="10" t="s">
        <v>83</v>
      </c>
      <c r="E142" s="10" t="s">
        <v>5</v>
      </c>
      <c r="F142" s="10" t="s">
        <v>43</v>
      </c>
      <c r="G142" s="12">
        <v>5</v>
      </c>
      <c r="H142" s="12">
        <v>5</v>
      </c>
      <c r="I142" s="12">
        <v>5</v>
      </c>
      <c r="J142" s="11">
        <v>5</v>
      </c>
      <c r="K142" s="10" t="s">
        <v>157</v>
      </c>
      <c r="L142" s="11">
        <v>2000</v>
      </c>
      <c r="M142" s="10" t="s">
        <v>158</v>
      </c>
      <c r="N142" s="11">
        <v>450</v>
      </c>
      <c r="O142" s="10" t="s">
        <v>159</v>
      </c>
    </row>
    <row r="143" spans="1:15" ht="32.1" customHeight="1" x14ac:dyDescent="0.25">
      <c r="A143" s="10" t="s">
        <v>56</v>
      </c>
      <c r="B143" s="10" t="s">
        <v>94</v>
      </c>
      <c r="C143" s="10" t="s">
        <v>3</v>
      </c>
      <c r="D143" s="10" t="s">
        <v>83</v>
      </c>
      <c r="E143" s="10" t="s">
        <v>5</v>
      </c>
      <c r="F143" s="10" t="s">
        <v>46</v>
      </c>
      <c r="G143" s="12">
        <v>0.66666666666666674</v>
      </c>
      <c r="H143" s="12">
        <v>0</v>
      </c>
      <c r="I143" s="12">
        <v>2</v>
      </c>
      <c r="J143" s="11">
        <v>5</v>
      </c>
      <c r="K143" s="10" t="s">
        <v>157</v>
      </c>
      <c r="L143" s="11">
        <v>2000</v>
      </c>
      <c r="M143" s="10" t="s">
        <v>158</v>
      </c>
      <c r="N143" s="11">
        <v>450</v>
      </c>
      <c r="O143" s="10" t="s">
        <v>159</v>
      </c>
    </row>
    <row r="144" spans="1:15" ht="32.1" customHeight="1" x14ac:dyDescent="0.25">
      <c r="A144" s="10" t="s">
        <v>56</v>
      </c>
      <c r="B144" s="10" t="s">
        <v>94</v>
      </c>
      <c r="C144" s="10" t="s">
        <v>3</v>
      </c>
      <c r="D144" s="10" t="s">
        <v>83</v>
      </c>
      <c r="E144" s="10" t="s">
        <v>63</v>
      </c>
      <c r="F144" s="10" t="s">
        <v>34</v>
      </c>
      <c r="G144" s="12">
        <v>34.312426099139998</v>
      </c>
      <c r="H144" s="12">
        <v>30.99575931244113</v>
      </c>
      <c r="I144" s="12">
        <v>39.035822827925678</v>
      </c>
      <c r="J144" s="11">
        <v>5</v>
      </c>
      <c r="K144" s="10" t="s">
        <v>157</v>
      </c>
      <c r="L144" s="11">
        <v>2000</v>
      </c>
      <c r="M144" s="10" t="s">
        <v>158</v>
      </c>
      <c r="N144" s="11">
        <v>324</v>
      </c>
      <c r="O144" s="10" t="s">
        <v>159</v>
      </c>
    </row>
    <row r="145" spans="1:15" ht="32.1" customHeight="1" x14ac:dyDescent="0.25">
      <c r="A145" s="10" t="s">
        <v>56</v>
      </c>
      <c r="B145" s="10" t="s">
        <v>94</v>
      </c>
      <c r="C145" s="10" t="s">
        <v>3</v>
      </c>
      <c r="D145" s="10" t="s">
        <v>83</v>
      </c>
      <c r="E145" s="10" t="s">
        <v>63</v>
      </c>
      <c r="F145" s="10" t="s">
        <v>35</v>
      </c>
      <c r="G145" s="12">
        <v>63.672895813345562</v>
      </c>
      <c r="H145" s="12">
        <v>58.46889300322168</v>
      </c>
      <c r="I145" s="12">
        <v>70.848307544152334</v>
      </c>
      <c r="J145" s="11">
        <v>5</v>
      </c>
      <c r="K145" s="10" t="s">
        <v>157</v>
      </c>
      <c r="L145" s="11">
        <v>2000</v>
      </c>
      <c r="M145" s="10" t="s">
        <v>158</v>
      </c>
      <c r="N145" s="11">
        <v>324</v>
      </c>
      <c r="O145" s="10" t="s">
        <v>159</v>
      </c>
    </row>
    <row r="146" spans="1:15" ht="32.1" customHeight="1" x14ac:dyDescent="0.25">
      <c r="A146" s="10" t="s">
        <v>56</v>
      </c>
      <c r="B146" s="10" t="s">
        <v>94</v>
      </c>
      <c r="C146" s="10" t="s">
        <v>3</v>
      </c>
      <c r="D146" s="10" t="s">
        <v>83</v>
      </c>
      <c r="E146" s="10" t="s">
        <v>63</v>
      </c>
      <c r="F146" s="10" t="s">
        <v>36</v>
      </c>
      <c r="G146" s="12">
        <v>116.6293147914845</v>
      </c>
      <c r="H146" s="12">
        <v>77.180697888203326</v>
      </c>
      <c r="I146" s="12">
        <v>156.07793169476579</v>
      </c>
      <c r="J146" s="11">
        <v>5</v>
      </c>
      <c r="K146" s="10" t="s">
        <v>157</v>
      </c>
      <c r="L146" s="11">
        <v>2000</v>
      </c>
      <c r="M146" s="10" t="s">
        <v>158</v>
      </c>
      <c r="N146" s="11">
        <v>324</v>
      </c>
      <c r="O146" s="10" t="s">
        <v>159</v>
      </c>
    </row>
    <row r="147" spans="1:15" ht="32.1" customHeight="1" x14ac:dyDescent="0.25">
      <c r="A147" s="10" t="s">
        <v>56</v>
      </c>
      <c r="B147" s="10" t="s">
        <v>94</v>
      </c>
      <c r="C147" s="10" t="s">
        <v>3</v>
      </c>
      <c r="D147" s="10" t="s">
        <v>83</v>
      </c>
      <c r="E147" s="10" t="s">
        <v>63</v>
      </c>
      <c r="F147" s="10" t="s">
        <v>33</v>
      </c>
      <c r="G147" s="12">
        <v>38.575925056692711</v>
      </c>
      <c r="H147" s="12">
        <v>34.304497294538002</v>
      </c>
      <c r="I147" s="12">
        <v>42.886364479635951</v>
      </c>
      <c r="J147" s="11">
        <v>5</v>
      </c>
      <c r="K147" s="10" t="s">
        <v>157</v>
      </c>
      <c r="L147" s="11">
        <v>2000</v>
      </c>
      <c r="M147" s="10" t="s">
        <v>158</v>
      </c>
      <c r="N147" s="11">
        <v>324</v>
      </c>
      <c r="O147" s="10" t="s">
        <v>159</v>
      </c>
    </row>
    <row r="148" spans="1:15" ht="32.1" customHeight="1" x14ac:dyDescent="0.25">
      <c r="A148" s="10" t="s">
        <v>56</v>
      </c>
      <c r="B148" s="10" t="s">
        <v>94</v>
      </c>
      <c r="C148" s="10" t="s">
        <v>3</v>
      </c>
      <c r="D148" s="10" t="s">
        <v>83</v>
      </c>
      <c r="E148" s="10" t="s">
        <v>63</v>
      </c>
      <c r="F148" s="10" t="s">
        <v>43</v>
      </c>
      <c r="G148" s="12">
        <v>3.6</v>
      </c>
      <c r="H148" s="12">
        <v>3.3111111111111118</v>
      </c>
      <c r="I148" s="12">
        <v>3.9</v>
      </c>
      <c r="J148" s="11">
        <v>5</v>
      </c>
      <c r="K148" s="10" t="s">
        <v>157</v>
      </c>
      <c r="L148" s="11">
        <v>2000</v>
      </c>
      <c r="M148" s="10" t="s">
        <v>158</v>
      </c>
      <c r="N148" s="11">
        <v>324</v>
      </c>
      <c r="O148" s="10" t="s">
        <v>159</v>
      </c>
    </row>
    <row r="149" spans="1:15" ht="32.1" customHeight="1" x14ac:dyDescent="0.25">
      <c r="A149" s="10" t="s">
        <v>56</v>
      </c>
      <c r="B149" s="10" t="s">
        <v>94</v>
      </c>
      <c r="C149" s="10" t="s">
        <v>3</v>
      </c>
      <c r="D149" s="10" t="s">
        <v>83</v>
      </c>
      <c r="E149" s="10" t="s">
        <v>63</v>
      </c>
      <c r="F149" s="10" t="s">
        <v>46</v>
      </c>
      <c r="G149" s="12">
        <v>1.052631578947369</v>
      </c>
      <c r="H149" s="12">
        <v>0</v>
      </c>
      <c r="I149" s="12">
        <v>3.1578947368421049</v>
      </c>
      <c r="J149" s="11">
        <v>5</v>
      </c>
      <c r="K149" s="10" t="s">
        <v>157</v>
      </c>
      <c r="L149" s="11">
        <v>2000</v>
      </c>
      <c r="M149" s="10" t="s">
        <v>158</v>
      </c>
      <c r="N149" s="11">
        <v>324</v>
      </c>
      <c r="O149" s="10" t="s">
        <v>159</v>
      </c>
    </row>
    <row r="150" spans="1:15" ht="32.1" customHeight="1" x14ac:dyDescent="0.25">
      <c r="A150" s="10" t="s">
        <v>56</v>
      </c>
      <c r="B150" s="10" t="s">
        <v>94</v>
      </c>
      <c r="C150" s="10" t="s">
        <v>3</v>
      </c>
      <c r="D150" s="10" t="s">
        <v>4</v>
      </c>
      <c r="E150" s="10" t="s">
        <v>5</v>
      </c>
      <c r="F150" s="10" t="s">
        <v>34</v>
      </c>
      <c r="G150" s="12">
        <v>36.996007667689497</v>
      </c>
      <c r="H150" s="12">
        <v>36.106758736334122</v>
      </c>
      <c r="I150" s="12">
        <v>37.739320812433391</v>
      </c>
      <c r="J150" s="11">
        <v>5</v>
      </c>
      <c r="K150" s="10" t="s">
        <v>157</v>
      </c>
      <c r="L150" s="11">
        <v>2000</v>
      </c>
      <c r="M150" s="10" t="s">
        <v>158</v>
      </c>
      <c r="N150" s="11">
        <v>1800</v>
      </c>
      <c r="O150" s="10" t="s">
        <v>159</v>
      </c>
    </row>
    <row r="151" spans="1:15" ht="32.1" customHeight="1" x14ac:dyDescent="0.25">
      <c r="A151" s="10" t="s">
        <v>56</v>
      </c>
      <c r="B151" s="10" t="s">
        <v>94</v>
      </c>
      <c r="C151" s="10" t="s">
        <v>3</v>
      </c>
      <c r="D151" s="10" t="s">
        <v>4</v>
      </c>
      <c r="E151" s="10" t="s">
        <v>5</v>
      </c>
      <c r="F151" s="10" t="s">
        <v>35</v>
      </c>
      <c r="G151" s="12">
        <v>104.96013043639999</v>
      </c>
      <c r="H151" s="12">
        <v>100.2471475523552</v>
      </c>
      <c r="I151" s="12">
        <v>112.2391823839187</v>
      </c>
      <c r="J151" s="11">
        <v>5</v>
      </c>
      <c r="K151" s="10" t="s">
        <v>157</v>
      </c>
      <c r="L151" s="11">
        <v>2000</v>
      </c>
      <c r="M151" s="10" t="s">
        <v>158</v>
      </c>
      <c r="N151" s="11">
        <v>1800</v>
      </c>
      <c r="O151" s="10" t="s">
        <v>159</v>
      </c>
    </row>
    <row r="152" spans="1:15" ht="32.1" customHeight="1" x14ac:dyDescent="0.25">
      <c r="A152" s="10" t="s">
        <v>56</v>
      </c>
      <c r="B152" s="10" t="s">
        <v>94</v>
      </c>
      <c r="C152" s="10" t="s">
        <v>3</v>
      </c>
      <c r="D152" s="10" t="s">
        <v>4</v>
      </c>
      <c r="E152" s="10" t="s">
        <v>5</v>
      </c>
      <c r="F152" s="10" t="s">
        <v>36</v>
      </c>
      <c r="G152" s="12">
        <v>173.32995156800291</v>
      </c>
      <c r="H152" s="12">
        <v>154.51538065799679</v>
      </c>
      <c r="I152" s="12">
        <v>199.67108931775371</v>
      </c>
      <c r="J152" s="11">
        <v>5</v>
      </c>
      <c r="K152" s="10" t="s">
        <v>157</v>
      </c>
      <c r="L152" s="11">
        <v>2000</v>
      </c>
      <c r="M152" s="10" t="s">
        <v>158</v>
      </c>
      <c r="N152" s="11">
        <v>1800</v>
      </c>
      <c r="O152" s="10" t="s">
        <v>159</v>
      </c>
    </row>
    <row r="153" spans="1:15" ht="32.1" customHeight="1" x14ac:dyDescent="0.25">
      <c r="A153" s="10" t="s">
        <v>56</v>
      </c>
      <c r="B153" s="10" t="s">
        <v>94</v>
      </c>
      <c r="C153" s="10" t="s">
        <v>3</v>
      </c>
      <c r="D153" s="10" t="s">
        <v>4</v>
      </c>
      <c r="E153" s="10" t="s">
        <v>5</v>
      </c>
      <c r="F153" s="10" t="s">
        <v>33</v>
      </c>
      <c r="G153" s="12">
        <v>48.910645191992288</v>
      </c>
      <c r="H153" s="12">
        <v>46.520866035058567</v>
      </c>
      <c r="I153" s="12">
        <v>51.30516741911174</v>
      </c>
      <c r="J153" s="11">
        <v>5</v>
      </c>
      <c r="K153" s="10" t="s">
        <v>157</v>
      </c>
      <c r="L153" s="11">
        <v>2000</v>
      </c>
      <c r="M153" s="10" t="s">
        <v>158</v>
      </c>
      <c r="N153" s="11">
        <v>1800</v>
      </c>
      <c r="O153" s="10" t="s">
        <v>159</v>
      </c>
    </row>
    <row r="154" spans="1:15" ht="32.1" customHeight="1" x14ac:dyDescent="0.25">
      <c r="A154" s="10" t="s">
        <v>56</v>
      </c>
      <c r="B154" s="10" t="s">
        <v>94</v>
      </c>
      <c r="C154" s="10" t="s">
        <v>3</v>
      </c>
      <c r="D154" s="10" t="s">
        <v>4</v>
      </c>
      <c r="E154" s="10" t="s">
        <v>5</v>
      </c>
      <c r="F154" s="10" t="s">
        <v>43</v>
      </c>
      <c r="G154" s="12">
        <v>19.966666666666669</v>
      </c>
      <c r="H154" s="12">
        <v>19.944444444444439</v>
      </c>
      <c r="I154" s="12">
        <v>19.988888888888891</v>
      </c>
      <c r="J154" s="11">
        <v>5</v>
      </c>
      <c r="K154" s="10" t="s">
        <v>157</v>
      </c>
      <c r="L154" s="11">
        <v>2000</v>
      </c>
      <c r="M154" s="10" t="s">
        <v>158</v>
      </c>
      <c r="N154" s="11">
        <v>1800</v>
      </c>
      <c r="O154" s="10" t="s">
        <v>159</v>
      </c>
    </row>
    <row r="155" spans="1:15" ht="32.1" customHeight="1" x14ac:dyDescent="0.25">
      <c r="A155" s="10" t="s">
        <v>56</v>
      </c>
      <c r="B155" s="10" t="s">
        <v>94</v>
      </c>
      <c r="C155" s="10" t="s">
        <v>3</v>
      </c>
      <c r="D155" s="10" t="s">
        <v>4</v>
      </c>
      <c r="E155" s="10" t="s">
        <v>5</v>
      </c>
      <c r="F155" s="10" t="s">
        <v>46</v>
      </c>
      <c r="G155" s="12">
        <v>1.3888888888888891</v>
      </c>
      <c r="H155" s="12">
        <v>1</v>
      </c>
      <c r="I155" s="12">
        <v>1.8888888888888891</v>
      </c>
      <c r="J155" s="11">
        <v>5</v>
      </c>
      <c r="K155" s="10" t="s">
        <v>157</v>
      </c>
      <c r="L155" s="11">
        <v>2000</v>
      </c>
      <c r="M155" s="10" t="s">
        <v>158</v>
      </c>
      <c r="N155" s="11">
        <v>1800</v>
      </c>
      <c r="O155" s="10" t="s">
        <v>159</v>
      </c>
    </row>
    <row r="156" spans="1:15" ht="32.1" customHeight="1" x14ac:dyDescent="0.25">
      <c r="A156" s="10" t="s">
        <v>56</v>
      </c>
      <c r="B156" s="10" t="s">
        <v>94</v>
      </c>
      <c r="C156" s="10" t="s">
        <v>3</v>
      </c>
      <c r="D156" s="10" t="s">
        <v>4</v>
      </c>
      <c r="E156" s="10" t="s">
        <v>62</v>
      </c>
      <c r="F156" s="10" t="s">
        <v>34</v>
      </c>
      <c r="G156" s="12">
        <v>99.193818953738642</v>
      </c>
      <c r="H156" s="12">
        <v>92.876775617922519</v>
      </c>
      <c r="I156" s="12">
        <v>107.5008251421539</v>
      </c>
      <c r="J156" s="11">
        <v>5</v>
      </c>
      <c r="K156" s="10" t="s">
        <v>157</v>
      </c>
      <c r="L156" s="11">
        <v>2000</v>
      </c>
      <c r="M156" s="10" t="s">
        <v>158</v>
      </c>
      <c r="N156" s="11">
        <v>177</v>
      </c>
      <c r="O156" s="10" t="s">
        <v>159</v>
      </c>
    </row>
    <row r="157" spans="1:15" ht="32.1" customHeight="1" x14ac:dyDescent="0.25">
      <c r="A157" s="10" t="s">
        <v>56</v>
      </c>
      <c r="B157" s="10" t="s">
        <v>94</v>
      </c>
      <c r="C157" s="10" t="s">
        <v>3</v>
      </c>
      <c r="D157" s="10" t="s">
        <v>4</v>
      </c>
      <c r="E157" s="10" t="s">
        <v>62</v>
      </c>
      <c r="F157" s="10" t="s">
        <v>35</v>
      </c>
      <c r="G157" s="12">
        <v>176.21183929956359</v>
      </c>
      <c r="H157" s="12">
        <v>167.85449241546041</v>
      </c>
      <c r="I157" s="12">
        <v>182.52057666681659</v>
      </c>
      <c r="J157" s="11">
        <v>5</v>
      </c>
      <c r="K157" s="10" t="s">
        <v>157</v>
      </c>
      <c r="L157" s="11">
        <v>2000</v>
      </c>
      <c r="M157" s="10" t="s">
        <v>158</v>
      </c>
      <c r="N157" s="11">
        <v>177</v>
      </c>
      <c r="O157" s="10" t="s">
        <v>159</v>
      </c>
    </row>
    <row r="158" spans="1:15" ht="32.1" customHeight="1" x14ac:dyDescent="0.25">
      <c r="A158" s="10" t="s">
        <v>56</v>
      </c>
      <c r="B158" s="10" t="s">
        <v>94</v>
      </c>
      <c r="C158" s="10" t="s">
        <v>3</v>
      </c>
      <c r="D158" s="10" t="s">
        <v>4</v>
      </c>
      <c r="E158" s="10" t="s">
        <v>62</v>
      </c>
      <c r="F158" s="10" t="s">
        <v>36</v>
      </c>
      <c r="G158" s="12">
        <v>495.14329729138962</v>
      </c>
      <c r="H158" s="12">
        <v>197.63917680518239</v>
      </c>
      <c r="I158" s="12">
        <v>1053.702457699482</v>
      </c>
      <c r="J158" s="11">
        <v>5</v>
      </c>
      <c r="K158" s="10" t="s">
        <v>157</v>
      </c>
      <c r="L158" s="11">
        <v>2000</v>
      </c>
      <c r="M158" s="10" t="s">
        <v>158</v>
      </c>
      <c r="N158" s="11">
        <v>177</v>
      </c>
      <c r="O158" s="10" t="s">
        <v>159</v>
      </c>
    </row>
    <row r="159" spans="1:15" ht="32.1" customHeight="1" x14ac:dyDescent="0.25">
      <c r="A159" s="10" t="s">
        <v>56</v>
      </c>
      <c r="B159" s="10" t="s">
        <v>94</v>
      </c>
      <c r="C159" s="10" t="s">
        <v>3</v>
      </c>
      <c r="D159" s="10" t="s">
        <v>4</v>
      </c>
      <c r="E159" s="10" t="s">
        <v>62</v>
      </c>
      <c r="F159" s="10" t="s">
        <v>33</v>
      </c>
      <c r="G159" s="12">
        <v>119.5046005419279</v>
      </c>
      <c r="H159" s="12">
        <v>103.2831404986525</v>
      </c>
      <c r="I159" s="12">
        <v>144.29622870290319</v>
      </c>
      <c r="J159" s="11">
        <v>5</v>
      </c>
      <c r="K159" s="10" t="s">
        <v>157</v>
      </c>
      <c r="L159" s="11">
        <v>2000</v>
      </c>
      <c r="M159" s="10" t="s">
        <v>158</v>
      </c>
      <c r="N159" s="11">
        <v>177</v>
      </c>
      <c r="O159" s="10" t="s">
        <v>159</v>
      </c>
    </row>
    <row r="160" spans="1:15" ht="32.1" customHeight="1" x14ac:dyDescent="0.25">
      <c r="A160" s="10" t="s">
        <v>56</v>
      </c>
      <c r="B160" s="10" t="s">
        <v>94</v>
      </c>
      <c r="C160" s="10" t="s">
        <v>3</v>
      </c>
      <c r="D160" s="10" t="s">
        <v>4</v>
      </c>
      <c r="E160" s="10" t="s">
        <v>62</v>
      </c>
      <c r="F160" s="10" t="s">
        <v>43</v>
      </c>
      <c r="G160" s="12">
        <v>1.955555555555555</v>
      </c>
      <c r="H160" s="12">
        <v>1.8</v>
      </c>
      <c r="I160" s="12">
        <v>2.1333333333333342</v>
      </c>
      <c r="J160" s="11">
        <v>5</v>
      </c>
      <c r="K160" s="10" t="s">
        <v>157</v>
      </c>
      <c r="L160" s="11">
        <v>2000</v>
      </c>
      <c r="M160" s="10" t="s">
        <v>158</v>
      </c>
      <c r="N160" s="11">
        <v>177</v>
      </c>
      <c r="O160" s="10" t="s">
        <v>159</v>
      </c>
    </row>
    <row r="161" spans="1:15" ht="32.1" customHeight="1" x14ac:dyDescent="0.25">
      <c r="A161" s="10" t="s">
        <v>56</v>
      </c>
      <c r="B161" s="10" t="s">
        <v>94</v>
      </c>
      <c r="C161" s="10" t="s">
        <v>3</v>
      </c>
      <c r="D161" s="10" t="s">
        <v>4</v>
      </c>
      <c r="E161" s="10" t="s">
        <v>62</v>
      </c>
      <c r="F161" s="10" t="s">
        <v>46</v>
      </c>
      <c r="G161" s="12">
        <v>1.0760401721664281</v>
      </c>
      <c r="H161" s="12">
        <v>0</v>
      </c>
      <c r="I161" s="12">
        <v>2.252510760401722</v>
      </c>
      <c r="J161" s="11">
        <v>5</v>
      </c>
      <c r="K161" s="10" t="s">
        <v>157</v>
      </c>
      <c r="L161" s="11">
        <v>2000</v>
      </c>
      <c r="M161" s="10" t="s">
        <v>158</v>
      </c>
      <c r="N161" s="11">
        <v>177</v>
      </c>
      <c r="O161" s="10" t="s">
        <v>159</v>
      </c>
    </row>
    <row r="162" spans="1:15" ht="32.1" customHeight="1" x14ac:dyDescent="0.25">
      <c r="A162" s="10" t="s">
        <v>56</v>
      </c>
      <c r="B162" s="10" t="s">
        <v>94</v>
      </c>
      <c r="C162" s="10" t="s">
        <v>3</v>
      </c>
      <c r="D162" s="10" t="s">
        <v>4</v>
      </c>
      <c r="E162" s="10" t="s">
        <v>63</v>
      </c>
      <c r="F162" s="10" t="s">
        <v>34</v>
      </c>
      <c r="G162" s="12">
        <v>32.295614424243041</v>
      </c>
      <c r="H162" s="12">
        <v>31.368443789691529</v>
      </c>
      <c r="I162" s="12">
        <v>33.378666996611997</v>
      </c>
      <c r="J162" s="11">
        <v>5</v>
      </c>
      <c r="K162" s="10" t="s">
        <v>157</v>
      </c>
      <c r="L162" s="11">
        <v>2000</v>
      </c>
      <c r="M162" s="10" t="s">
        <v>158</v>
      </c>
      <c r="N162" s="11">
        <v>1253</v>
      </c>
      <c r="O162" s="10" t="s">
        <v>159</v>
      </c>
    </row>
    <row r="163" spans="1:15" ht="32.1" customHeight="1" x14ac:dyDescent="0.25">
      <c r="A163" s="10" t="s">
        <v>56</v>
      </c>
      <c r="B163" s="10" t="s">
        <v>94</v>
      </c>
      <c r="C163" s="10" t="s">
        <v>3</v>
      </c>
      <c r="D163" s="10" t="s">
        <v>4</v>
      </c>
      <c r="E163" s="10" t="s">
        <v>63</v>
      </c>
      <c r="F163" s="10" t="s">
        <v>35</v>
      </c>
      <c r="G163" s="12">
        <v>60.650915072542567</v>
      </c>
      <c r="H163" s="12">
        <v>58.350814470587679</v>
      </c>
      <c r="I163" s="12">
        <v>62.909198326810397</v>
      </c>
      <c r="J163" s="11">
        <v>5</v>
      </c>
      <c r="K163" s="10" t="s">
        <v>157</v>
      </c>
      <c r="L163" s="11">
        <v>2000</v>
      </c>
      <c r="M163" s="10" t="s">
        <v>158</v>
      </c>
      <c r="N163" s="11">
        <v>1253</v>
      </c>
      <c r="O163" s="10" t="s">
        <v>159</v>
      </c>
    </row>
    <row r="164" spans="1:15" ht="32.1" customHeight="1" x14ac:dyDescent="0.25">
      <c r="A164" s="10" t="s">
        <v>56</v>
      </c>
      <c r="B164" s="10" t="s">
        <v>94</v>
      </c>
      <c r="C164" s="10" t="s">
        <v>3</v>
      </c>
      <c r="D164" s="10" t="s">
        <v>4</v>
      </c>
      <c r="E164" s="10" t="s">
        <v>63</v>
      </c>
      <c r="F164" s="10" t="s">
        <v>36</v>
      </c>
      <c r="G164" s="12">
        <v>99.723791692791565</v>
      </c>
      <c r="H164" s="12">
        <v>77.583533995230709</v>
      </c>
      <c r="I164" s="12">
        <v>134.22286456004011</v>
      </c>
      <c r="J164" s="11">
        <v>5</v>
      </c>
      <c r="K164" s="10" t="s">
        <v>157</v>
      </c>
      <c r="L164" s="11">
        <v>2000</v>
      </c>
      <c r="M164" s="10" t="s">
        <v>158</v>
      </c>
      <c r="N164" s="11">
        <v>1253</v>
      </c>
      <c r="O164" s="10" t="s">
        <v>159</v>
      </c>
    </row>
    <row r="165" spans="1:15" ht="32.1" customHeight="1" x14ac:dyDescent="0.25">
      <c r="A165" s="10" t="s">
        <v>56</v>
      </c>
      <c r="B165" s="10" t="s">
        <v>94</v>
      </c>
      <c r="C165" s="10" t="s">
        <v>3</v>
      </c>
      <c r="D165" s="10" t="s">
        <v>4</v>
      </c>
      <c r="E165" s="10" t="s">
        <v>63</v>
      </c>
      <c r="F165" s="10" t="s">
        <v>33</v>
      </c>
      <c r="G165" s="12">
        <v>36.698357173133559</v>
      </c>
      <c r="H165" s="12">
        <v>35.008121810188612</v>
      </c>
      <c r="I165" s="12">
        <v>38.686558385464352</v>
      </c>
      <c r="J165" s="11">
        <v>5</v>
      </c>
      <c r="K165" s="10" t="s">
        <v>157</v>
      </c>
      <c r="L165" s="11">
        <v>2000</v>
      </c>
      <c r="M165" s="10" t="s">
        <v>158</v>
      </c>
      <c r="N165" s="11">
        <v>1253</v>
      </c>
      <c r="O165" s="10" t="s">
        <v>159</v>
      </c>
    </row>
    <row r="166" spans="1:15" ht="32.1" customHeight="1" x14ac:dyDescent="0.25">
      <c r="A166" s="10" t="s">
        <v>56</v>
      </c>
      <c r="B166" s="10" t="s">
        <v>94</v>
      </c>
      <c r="C166" s="10" t="s">
        <v>3</v>
      </c>
      <c r="D166" s="10" t="s">
        <v>4</v>
      </c>
      <c r="E166" s="10" t="s">
        <v>63</v>
      </c>
      <c r="F166" s="10" t="s">
        <v>43</v>
      </c>
      <c r="G166" s="12">
        <v>13.9</v>
      </c>
      <c r="H166" s="12">
        <v>13.75555555555556</v>
      </c>
      <c r="I166" s="12">
        <v>14.055833333333331</v>
      </c>
      <c r="J166" s="11">
        <v>5</v>
      </c>
      <c r="K166" s="10" t="s">
        <v>157</v>
      </c>
      <c r="L166" s="11">
        <v>2000</v>
      </c>
      <c r="M166" s="10" t="s">
        <v>158</v>
      </c>
      <c r="N166" s="11">
        <v>1253</v>
      </c>
      <c r="O166" s="10" t="s">
        <v>159</v>
      </c>
    </row>
    <row r="167" spans="1:15" ht="32.1" customHeight="1" x14ac:dyDescent="0.25">
      <c r="A167" s="10" t="s">
        <v>56</v>
      </c>
      <c r="B167" s="10" t="s">
        <v>94</v>
      </c>
      <c r="C167" s="10" t="s">
        <v>3</v>
      </c>
      <c r="D167" s="10" t="s">
        <v>4</v>
      </c>
      <c r="E167" s="10" t="s">
        <v>63</v>
      </c>
      <c r="F167" s="10" t="s">
        <v>46</v>
      </c>
      <c r="G167" s="12">
        <v>1.2763699841125169</v>
      </c>
      <c r="H167" s="12">
        <v>0.87824161922833655</v>
      </c>
      <c r="I167" s="12">
        <v>1.674736474472948</v>
      </c>
      <c r="J167" s="11">
        <v>5</v>
      </c>
      <c r="K167" s="10" t="s">
        <v>157</v>
      </c>
      <c r="L167" s="11">
        <v>2000</v>
      </c>
      <c r="M167" s="10" t="s">
        <v>158</v>
      </c>
      <c r="N167" s="11">
        <v>1253</v>
      </c>
      <c r="O167" s="10" t="s">
        <v>159</v>
      </c>
    </row>
    <row r="168" spans="1:15" ht="32.1" customHeight="1" x14ac:dyDescent="0.25">
      <c r="A168" s="10" t="s">
        <v>56</v>
      </c>
      <c r="B168" s="10" t="s">
        <v>94</v>
      </c>
      <c r="C168" s="10" t="s">
        <v>3</v>
      </c>
      <c r="D168" s="10" t="s">
        <v>4</v>
      </c>
      <c r="E168" s="10" t="s">
        <v>64</v>
      </c>
      <c r="F168" s="10" t="s">
        <v>34</v>
      </c>
      <c r="G168" s="12">
        <v>48.446268780835247</v>
      </c>
      <c r="H168" s="12">
        <v>45.897007274641268</v>
      </c>
      <c r="I168" s="12">
        <v>51.575833149009462</v>
      </c>
      <c r="J168" s="11">
        <v>5</v>
      </c>
      <c r="K168" s="10" t="s">
        <v>157</v>
      </c>
      <c r="L168" s="11">
        <v>2000</v>
      </c>
      <c r="M168" s="10" t="s">
        <v>158</v>
      </c>
      <c r="N168" s="11">
        <v>370</v>
      </c>
      <c r="O168" s="10" t="s">
        <v>159</v>
      </c>
    </row>
    <row r="169" spans="1:15" ht="32.1" customHeight="1" x14ac:dyDescent="0.25">
      <c r="A169" s="10" t="s">
        <v>56</v>
      </c>
      <c r="B169" s="10" t="s">
        <v>94</v>
      </c>
      <c r="C169" s="10" t="s">
        <v>3</v>
      </c>
      <c r="D169" s="10" t="s">
        <v>4</v>
      </c>
      <c r="E169" s="10" t="s">
        <v>64</v>
      </c>
      <c r="F169" s="10" t="s">
        <v>35</v>
      </c>
      <c r="G169" s="12">
        <v>92.628004564298521</v>
      </c>
      <c r="H169" s="12">
        <v>89.104584345500413</v>
      </c>
      <c r="I169" s="12">
        <v>97.271428353657726</v>
      </c>
      <c r="J169" s="11">
        <v>5</v>
      </c>
      <c r="K169" s="10" t="s">
        <v>157</v>
      </c>
      <c r="L169" s="11">
        <v>2000</v>
      </c>
      <c r="M169" s="10" t="s">
        <v>158</v>
      </c>
      <c r="N169" s="11">
        <v>370</v>
      </c>
      <c r="O169" s="10" t="s">
        <v>159</v>
      </c>
    </row>
    <row r="170" spans="1:15" ht="32.1" customHeight="1" x14ac:dyDescent="0.25">
      <c r="A170" s="10" t="s">
        <v>56</v>
      </c>
      <c r="B170" s="10" t="s">
        <v>94</v>
      </c>
      <c r="C170" s="10" t="s">
        <v>3</v>
      </c>
      <c r="D170" s="10" t="s">
        <v>4</v>
      </c>
      <c r="E170" s="10" t="s">
        <v>64</v>
      </c>
      <c r="F170" s="10" t="s">
        <v>36</v>
      </c>
      <c r="G170" s="12">
        <v>195.8626570675402</v>
      </c>
      <c r="H170" s="12">
        <v>113.0239047057082</v>
      </c>
      <c r="I170" s="12">
        <v>355.01671898093042</v>
      </c>
      <c r="J170" s="11">
        <v>5</v>
      </c>
      <c r="K170" s="10" t="s">
        <v>157</v>
      </c>
      <c r="L170" s="11">
        <v>2000</v>
      </c>
      <c r="M170" s="10" t="s">
        <v>158</v>
      </c>
      <c r="N170" s="11">
        <v>370</v>
      </c>
      <c r="O170" s="10" t="s">
        <v>159</v>
      </c>
    </row>
    <row r="171" spans="1:15" ht="32.1" customHeight="1" x14ac:dyDescent="0.25">
      <c r="A171" s="10" t="s">
        <v>56</v>
      </c>
      <c r="B171" s="10" t="s">
        <v>94</v>
      </c>
      <c r="C171" s="10" t="s">
        <v>3</v>
      </c>
      <c r="D171" s="10" t="s">
        <v>4</v>
      </c>
      <c r="E171" s="10" t="s">
        <v>64</v>
      </c>
      <c r="F171" s="10" t="s">
        <v>33</v>
      </c>
      <c r="G171" s="12">
        <v>56.70795992460895</v>
      </c>
      <c r="H171" s="12">
        <v>51.51922291342472</v>
      </c>
      <c r="I171" s="12">
        <v>64.252137347765071</v>
      </c>
      <c r="J171" s="11">
        <v>5</v>
      </c>
      <c r="K171" s="10" t="s">
        <v>157</v>
      </c>
      <c r="L171" s="11">
        <v>2000</v>
      </c>
      <c r="M171" s="10" t="s">
        <v>158</v>
      </c>
      <c r="N171" s="11">
        <v>370</v>
      </c>
      <c r="O171" s="10" t="s">
        <v>159</v>
      </c>
    </row>
    <row r="172" spans="1:15" ht="32.1" customHeight="1" x14ac:dyDescent="0.25">
      <c r="A172" s="10" t="s">
        <v>56</v>
      </c>
      <c r="B172" s="10" t="s">
        <v>94</v>
      </c>
      <c r="C172" s="10" t="s">
        <v>3</v>
      </c>
      <c r="D172" s="10" t="s">
        <v>4</v>
      </c>
      <c r="E172" s="10" t="s">
        <v>64</v>
      </c>
      <c r="F172" s="10" t="s">
        <v>43</v>
      </c>
      <c r="G172" s="12">
        <v>4.1111111111111116</v>
      </c>
      <c r="H172" s="12">
        <v>3.9888888888888889</v>
      </c>
      <c r="I172" s="12">
        <v>4.2666666666666684</v>
      </c>
      <c r="J172" s="11">
        <v>5</v>
      </c>
      <c r="K172" s="10" t="s">
        <v>157</v>
      </c>
      <c r="L172" s="11">
        <v>2000</v>
      </c>
      <c r="M172" s="10" t="s">
        <v>158</v>
      </c>
      <c r="N172" s="11">
        <v>370</v>
      </c>
      <c r="O172" s="10" t="s">
        <v>159</v>
      </c>
    </row>
    <row r="173" spans="1:15" ht="32.1" customHeight="1" x14ac:dyDescent="0.25">
      <c r="A173" s="10" t="s">
        <v>56</v>
      </c>
      <c r="B173" s="10" t="s">
        <v>94</v>
      </c>
      <c r="C173" s="10" t="s">
        <v>3</v>
      </c>
      <c r="D173" s="10" t="s">
        <v>4</v>
      </c>
      <c r="E173" s="10" t="s">
        <v>64</v>
      </c>
      <c r="F173" s="10" t="s">
        <v>46</v>
      </c>
      <c r="G173" s="12">
        <v>1.869190605552665</v>
      </c>
      <c r="H173" s="12">
        <v>0.82191780821917804</v>
      </c>
      <c r="I173" s="12">
        <v>2.6841068917018278</v>
      </c>
      <c r="J173" s="11">
        <v>5</v>
      </c>
      <c r="K173" s="10" t="s">
        <v>157</v>
      </c>
      <c r="L173" s="11">
        <v>2000</v>
      </c>
      <c r="M173" s="10" t="s">
        <v>158</v>
      </c>
      <c r="N173" s="11">
        <v>370</v>
      </c>
      <c r="O173" s="10" t="s">
        <v>159</v>
      </c>
    </row>
    <row r="174" spans="1:15" ht="32.1" customHeight="1" x14ac:dyDescent="0.25">
      <c r="A174" s="10" t="s">
        <v>56</v>
      </c>
      <c r="B174" s="10" t="s">
        <v>121</v>
      </c>
      <c r="C174" s="10" t="s">
        <v>59</v>
      </c>
      <c r="D174" s="10" t="s">
        <v>59</v>
      </c>
      <c r="E174" s="10" t="s">
        <v>5</v>
      </c>
      <c r="F174" s="10" t="s">
        <v>34</v>
      </c>
      <c r="G174" s="12">
        <v>48.762785712885297</v>
      </c>
      <c r="H174" s="12">
        <v>47.280378054312941</v>
      </c>
      <c r="I174" s="12">
        <v>50.091909543454243</v>
      </c>
      <c r="J174" s="11">
        <v>5</v>
      </c>
      <c r="K174" s="10" t="s">
        <v>157</v>
      </c>
      <c r="L174" s="11">
        <v>2000</v>
      </c>
      <c r="M174" s="10" t="s">
        <v>158</v>
      </c>
      <c r="N174" s="11">
        <v>4150</v>
      </c>
      <c r="O174" s="10" t="s">
        <v>159</v>
      </c>
    </row>
    <row r="175" spans="1:15" ht="32.1" customHeight="1" x14ac:dyDescent="0.25">
      <c r="A175" s="10" t="s">
        <v>56</v>
      </c>
      <c r="B175" s="10" t="s">
        <v>121</v>
      </c>
      <c r="C175" s="10" t="s">
        <v>59</v>
      </c>
      <c r="D175" s="10" t="s">
        <v>59</v>
      </c>
      <c r="E175" s="10" t="s">
        <v>5</v>
      </c>
      <c r="F175" s="10" t="s">
        <v>35</v>
      </c>
      <c r="G175" s="12">
        <v>142.94302884779839</v>
      </c>
      <c r="H175" s="12">
        <v>132.149204052914</v>
      </c>
      <c r="I175" s="12">
        <v>153.97083538336639</v>
      </c>
      <c r="J175" s="11">
        <v>5</v>
      </c>
      <c r="K175" s="10" t="s">
        <v>157</v>
      </c>
      <c r="L175" s="11">
        <v>2000</v>
      </c>
      <c r="M175" s="10" t="s">
        <v>158</v>
      </c>
      <c r="N175" s="11">
        <v>4150</v>
      </c>
      <c r="O175" s="10" t="s">
        <v>159</v>
      </c>
    </row>
    <row r="176" spans="1:15" ht="32.1" customHeight="1" x14ac:dyDescent="0.25">
      <c r="A176" s="10" t="s">
        <v>56</v>
      </c>
      <c r="B176" s="10" t="s">
        <v>121</v>
      </c>
      <c r="C176" s="10" t="s">
        <v>59</v>
      </c>
      <c r="D176" s="10" t="s">
        <v>59</v>
      </c>
      <c r="E176" s="10" t="s">
        <v>5</v>
      </c>
      <c r="F176" s="10" t="s">
        <v>36</v>
      </c>
      <c r="G176" s="12">
        <v>237.19496836331069</v>
      </c>
      <c r="H176" s="12">
        <v>229.38629138367199</v>
      </c>
      <c r="I176" s="12">
        <v>245.6956642613489</v>
      </c>
      <c r="J176" s="11">
        <v>5</v>
      </c>
      <c r="K176" s="10" t="s">
        <v>157</v>
      </c>
      <c r="L176" s="11">
        <v>2000</v>
      </c>
      <c r="M176" s="10" t="s">
        <v>158</v>
      </c>
      <c r="N176" s="11">
        <v>4150</v>
      </c>
      <c r="O176" s="10" t="s">
        <v>159</v>
      </c>
    </row>
    <row r="177" spans="1:15" ht="32.1" customHeight="1" x14ac:dyDescent="0.25">
      <c r="A177" s="10" t="s">
        <v>56</v>
      </c>
      <c r="B177" s="10" t="s">
        <v>121</v>
      </c>
      <c r="C177" s="10" t="s">
        <v>59</v>
      </c>
      <c r="D177" s="10" t="s">
        <v>59</v>
      </c>
      <c r="E177" s="10" t="s">
        <v>5</v>
      </c>
      <c r="F177" s="10" t="s">
        <v>33</v>
      </c>
      <c r="G177" s="12">
        <v>62.40702687382435</v>
      </c>
      <c r="H177" s="12">
        <v>58.89232026842636</v>
      </c>
      <c r="I177" s="12">
        <v>66.581359262330807</v>
      </c>
      <c r="J177" s="11">
        <v>5</v>
      </c>
      <c r="K177" s="10" t="s">
        <v>157</v>
      </c>
      <c r="L177" s="11">
        <v>2000</v>
      </c>
      <c r="M177" s="10" t="s">
        <v>158</v>
      </c>
      <c r="N177" s="11">
        <v>4150</v>
      </c>
      <c r="O177" s="10" t="s">
        <v>159</v>
      </c>
    </row>
    <row r="178" spans="1:15" ht="32.1" customHeight="1" x14ac:dyDescent="0.25">
      <c r="A178" s="10" t="s">
        <v>56</v>
      </c>
      <c r="B178" s="10" t="s">
        <v>121</v>
      </c>
      <c r="C178" s="10" t="s">
        <v>59</v>
      </c>
      <c r="D178" s="10" t="s">
        <v>59</v>
      </c>
      <c r="E178" s="10" t="s">
        <v>5</v>
      </c>
      <c r="F178" s="10" t="s">
        <v>43</v>
      </c>
      <c r="G178" s="12">
        <v>41.49</v>
      </c>
      <c r="H178" s="12">
        <v>41.470000000000013</v>
      </c>
      <c r="I178" s="12">
        <v>41.5</v>
      </c>
      <c r="J178" s="11">
        <v>5</v>
      </c>
      <c r="K178" s="10" t="s">
        <v>157</v>
      </c>
      <c r="L178" s="11">
        <v>2000</v>
      </c>
      <c r="M178" s="10" t="s">
        <v>158</v>
      </c>
      <c r="N178" s="11">
        <v>4150</v>
      </c>
      <c r="O178" s="10" t="s">
        <v>159</v>
      </c>
    </row>
    <row r="179" spans="1:15" ht="32.1" customHeight="1" x14ac:dyDescent="0.25">
      <c r="A179" s="10" t="s">
        <v>56</v>
      </c>
      <c r="B179" s="10" t="s">
        <v>121</v>
      </c>
      <c r="C179" s="10" t="s">
        <v>59</v>
      </c>
      <c r="D179" s="10" t="s">
        <v>59</v>
      </c>
      <c r="E179" s="10" t="s">
        <v>5</v>
      </c>
      <c r="F179" s="10" t="s">
        <v>46</v>
      </c>
      <c r="G179" s="12">
        <v>1.3493975903614459</v>
      </c>
      <c r="H179" s="12">
        <v>0.93975903614457845</v>
      </c>
      <c r="I179" s="12">
        <v>1.662650602409639</v>
      </c>
      <c r="J179" s="11">
        <v>5</v>
      </c>
      <c r="K179" s="10" t="s">
        <v>157</v>
      </c>
      <c r="L179" s="11">
        <v>2000</v>
      </c>
      <c r="M179" s="10" t="s">
        <v>158</v>
      </c>
      <c r="N179" s="11">
        <v>4150</v>
      </c>
      <c r="O179" s="10" t="s">
        <v>159</v>
      </c>
    </row>
    <row r="180" spans="1:15" ht="32.1" customHeight="1" x14ac:dyDescent="0.25">
      <c r="A180" s="10" t="s">
        <v>56</v>
      </c>
      <c r="B180" s="10" t="s">
        <v>121</v>
      </c>
      <c r="C180" s="10" t="s">
        <v>59</v>
      </c>
      <c r="D180" s="10" t="s">
        <v>59</v>
      </c>
      <c r="E180" s="10" t="s">
        <v>62</v>
      </c>
      <c r="F180" s="10" t="s">
        <v>34</v>
      </c>
      <c r="G180" s="12">
        <v>131.4547900060293</v>
      </c>
      <c r="H180" s="12">
        <v>126.9629530838899</v>
      </c>
      <c r="I180" s="12">
        <v>136.38728888797709</v>
      </c>
      <c r="J180" s="11">
        <v>5</v>
      </c>
      <c r="K180" s="10" t="s">
        <v>157</v>
      </c>
      <c r="L180" s="11">
        <v>2000</v>
      </c>
      <c r="M180" s="10" t="s">
        <v>158</v>
      </c>
      <c r="N180" s="11">
        <v>433</v>
      </c>
      <c r="O180" s="10" t="s">
        <v>159</v>
      </c>
    </row>
    <row r="181" spans="1:15" ht="32.1" customHeight="1" x14ac:dyDescent="0.25">
      <c r="A181" s="10" t="s">
        <v>56</v>
      </c>
      <c r="B181" s="10" t="s">
        <v>121</v>
      </c>
      <c r="C181" s="10" t="s">
        <v>59</v>
      </c>
      <c r="D181" s="10" t="s">
        <v>59</v>
      </c>
      <c r="E181" s="10" t="s">
        <v>62</v>
      </c>
      <c r="F181" s="10" t="s">
        <v>35</v>
      </c>
      <c r="G181" s="12">
        <v>252.48604635716401</v>
      </c>
      <c r="H181" s="12">
        <v>236.5771875699283</v>
      </c>
      <c r="I181" s="12">
        <v>271.36803629486712</v>
      </c>
      <c r="J181" s="11">
        <v>5</v>
      </c>
      <c r="K181" s="10" t="s">
        <v>157</v>
      </c>
      <c r="L181" s="11">
        <v>2000</v>
      </c>
      <c r="M181" s="10" t="s">
        <v>158</v>
      </c>
      <c r="N181" s="11">
        <v>433</v>
      </c>
      <c r="O181" s="10" t="s">
        <v>159</v>
      </c>
    </row>
    <row r="182" spans="1:15" ht="32.1" customHeight="1" x14ac:dyDescent="0.25">
      <c r="A182" s="10" t="s">
        <v>56</v>
      </c>
      <c r="B182" s="10" t="s">
        <v>121</v>
      </c>
      <c r="C182" s="10" t="s">
        <v>59</v>
      </c>
      <c r="D182" s="10" t="s">
        <v>59</v>
      </c>
      <c r="E182" s="10" t="s">
        <v>62</v>
      </c>
      <c r="F182" s="10" t="s">
        <v>36</v>
      </c>
      <c r="G182" s="12">
        <v>341.41172376639008</v>
      </c>
      <c r="H182" s="12">
        <v>298.36394429722242</v>
      </c>
      <c r="I182" s="12">
        <v>413.86462411842001</v>
      </c>
      <c r="J182" s="11">
        <v>5</v>
      </c>
      <c r="K182" s="10" t="s">
        <v>157</v>
      </c>
      <c r="L182" s="11">
        <v>2000</v>
      </c>
      <c r="M182" s="10" t="s">
        <v>158</v>
      </c>
      <c r="N182" s="11">
        <v>433</v>
      </c>
      <c r="O182" s="10" t="s">
        <v>159</v>
      </c>
    </row>
    <row r="183" spans="1:15" ht="32.1" customHeight="1" x14ac:dyDescent="0.25">
      <c r="A183" s="10" t="s">
        <v>56</v>
      </c>
      <c r="B183" s="10" t="s">
        <v>121</v>
      </c>
      <c r="C183" s="10" t="s">
        <v>59</v>
      </c>
      <c r="D183" s="10" t="s">
        <v>59</v>
      </c>
      <c r="E183" s="10" t="s">
        <v>62</v>
      </c>
      <c r="F183" s="10" t="s">
        <v>33</v>
      </c>
      <c r="G183" s="12">
        <v>151.81503019083701</v>
      </c>
      <c r="H183" s="12">
        <v>139.2916380282031</v>
      </c>
      <c r="I183" s="12">
        <v>171.8036669950618</v>
      </c>
      <c r="J183" s="11">
        <v>5</v>
      </c>
      <c r="K183" s="10" t="s">
        <v>157</v>
      </c>
      <c r="L183" s="11">
        <v>2000</v>
      </c>
      <c r="M183" s="10" t="s">
        <v>158</v>
      </c>
      <c r="N183" s="11">
        <v>433</v>
      </c>
      <c r="O183" s="10" t="s">
        <v>159</v>
      </c>
    </row>
    <row r="184" spans="1:15" ht="32.1" customHeight="1" x14ac:dyDescent="0.25">
      <c r="A184" s="10" t="s">
        <v>56</v>
      </c>
      <c r="B184" s="10" t="s">
        <v>121</v>
      </c>
      <c r="C184" s="10" t="s">
        <v>59</v>
      </c>
      <c r="D184" s="10" t="s">
        <v>59</v>
      </c>
      <c r="E184" s="10" t="s">
        <v>62</v>
      </c>
      <c r="F184" s="10" t="s">
        <v>43</v>
      </c>
      <c r="G184" s="12">
        <v>4.32</v>
      </c>
      <c r="H184" s="12">
        <v>3.88</v>
      </c>
      <c r="I184" s="12">
        <v>4.8099999999999996</v>
      </c>
      <c r="J184" s="11">
        <v>5</v>
      </c>
      <c r="K184" s="10" t="s">
        <v>157</v>
      </c>
      <c r="L184" s="11">
        <v>2000</v>
      </c>
      <c r="M184" s="10" t="s">
        <v>158</v>
      </c>
      <c r="N184" s="11">
        <v>433</v>
      </c>
      <c r="O184" s="10" t="s">
        <v>159</v>
      </c>
    </row>
    <row r="185" spans="1:15" ht="32.1" customHeight="1" x14ac:dyDescent="0.25">
      <c r="A185" s="10" t="s">
        <v>56</v>
      </c>
      <c r="B185" s="10" t="s">
        <v>121</v>
      </c>
      <c r="C185" s="10" t="s">
        <v>59</v>
      </c>
      <c r="D185" s="10" t="s">
        <v>59</v>
      </c>
      <c r="E185" s="10" t="s">
        <v>62</v>
      </c>
      <c r="F185" s="10" t="s">
        <v>46</v>
      </c>
      <c r="G185" s="12">
        <v>1.5754699484659169</v>
      </c>
      <c r="H185" s="12">
        <v>0.62364363221016561</v>
      </c>
      <c r="I185" s="12">
        <v>2.627482555018787</v>
      </c>
      <c r="J185" s="11">
        <v>5</v>
      </c>
      <c r="K185" s="10" t="s">
        <v>157</v>
      </c>
      <c r="L185" s="11">
        <v>2000</v>
      </c>
      <c r="M185" s="10" t="s">
        <v>158</v>
      </c>
      <c r="N185" s="11">
        <v>433</v>
      </c>
      <c r="O185" s="10" t="s">
        <v>159</v>
      </c>
    </row>
    <row r="186" spans="1:15" ht="32.1" customHeight="1" x14ac:dyDescent="0.25">
      <c r="A186" s="10" t="s">
        <v>56</v>
      </c>
      <c r="B186" s="10" t="s">
        <v>121</v>
      </c>
      <c r="C186" s="10" t="s">
        <v>59</v>
      </c>
      <c r="D186" s="10" t="s">
        <v>59</v>
      </c>
      <c r="E186" s="10" t="s">
        <v>63</v>
      </c>
      <c r="F186" s="10" t="s">
        <v>34</v>
      </c>
      <c r="G186" s="12">
        <v>42.377107598964969</v>
      </c>
      <c r="H186" s="12">
        <v>40.837217680892309</v>
      </c>
      <c r="I186" s="12">
        <v>43.707271849526563</v>
      </c>
      <c r="J186" s="11">
        <v>5</v>
      </c>
      <c r="K186" s="10" t="s">
        <v>157</v>
      </c>
      <c r="L186" s="11">
        <v>2000</v>
      </c>
      <c r="M186" s="10" t="s">
        <v>158</v>
      </c>
      <c r="N186" s="11">
        <v>2934</v>
      </c>
      <c r="O186" s="10" t="s">
        <v>159</v>
      </c>
    </row>
    <row r="187" spans="1:15" ht="32.1" customHeight="1" x14ac:dyDescent="0.25">
      <c r="A187" s="10" t="s">
        <v>56</v>
      </c>
      <c r="B187" s="10" t="s">
        <v>121</v>
      </c>
      <c r="C187" s="10" t="s">
        <v>59</v>
      </c>
      <c r="D187" s="10" t="s">
        <v>59</v>
      </c>
      <c r="E187" s="10" t="s">
        <v>63</v>
      </c>
      <c r="F187" s="10" t="s">
        <v>35</v>
      </c>
      <c r="G187" s="12">
        <v>79.70339551289814</v>
      </c>
      <c r="H187" s="12">
        <v>76.209052157662271</v>
      </c>
      <c r="I187" s="12">
        <v>82.770179752309971</v>
      </c>
      <c r="J187" s="11">
        <v>5</v>
      </c>
      <c r="K187" s="10" t="s">
        <v>157</v>
      </c>
      <c r="L187" s="11">
        <v>2000</v>
      </c>
      <c r="M187" s="10" t="s">
        <v>158</v>
      </c>
      <c r="N187" s="11">
        <v>2934</v>
      </c>
      <c r="O187" s="10" t="s">
        <v>159</v>
      </c>
    </row>
    <row r="188" spans="1:15" ht="32.1" customHeight="1" x14ac:dyDescent="0.25">
      <c r="A188" s="10" t="s">
        <v>56</v>
      </c>
      <c r="B188" s="10" t="s">
        <v>121</v>
      </c>
      <c r="C188" s="10" t="s">
        <v>59</v>
      </c>
      <c r="D188" s="10" t="s">
        <v>59</v>
      </c>
      <c r="E188" s="10" t="s">
        <v>63</v>
      </c>
      <c r="F188" s="10" t="s">
        <v>36</v>
      </c>
      <c r="G188" s="12">
        <v>107.8305818297753</v>
      </c>
      <c r="H188" s="12">
        <v>101.0632001429485</v>
      </c>
      <c r="I188" s="12">
        <v>115.0960062510059</v>
      </c>
      <c r="J188" s="11">
        <v>5</v>
      </c>
      <c r="K188" s="10" t="s">
        <v>157</v>
      </c>
      <c r="L188" s="11">
        <v>2000</v>
      </c>
      <c r="M188" s="10" t="s">
        <v>158</v>
      </c>
      <c r="N188" s="11">
        <v>2934</v>
      </c>
      <c r="O188" s="10" t="s">
        <v>159</v>
      </c>
    </row>
    <row r="189" spans="1:15" ht="32.1" customHeight="1" x14ac:dyDescent="0.25">
      <c r="A189" s="10" t="s">
        <v>56</v>
      </c>
      <c r="B189" s="10" t="s">
        <v>121</v>
      </c>
      <c r="C189" s="10" t="s">
        <v>59</v>
      </c>
      <c r="D189" s="10" t="s">
        <v>59</v>
      </c>
      <c r="E189" s="10" t="s">
        <v>63</v>
      </c>
      <c r="F189" s="10" t="s">
        <v>33</v>
      </c>
      <c r="G189" s="12">
        <v>47.313964618700531</v>
      </c>
      <c r="H189" s="12">
        <v>45.745393608411483</v>
      </c>
      <c r="I189" s="12">
        <v>48.691808533507661</v>
      </c>
      <c r="J189" s="11">
        <v>5</v>
      </c>
      <c r="K189" s="10" t="s">
        <v>157</v>
      </c>
      <c r="L189" s="11">
        <v>2000</v>
      </c>
      <c r="M189" s="10" t="s">
        <v>158</v>
      </c>
      <c r="N189" s="11">
        <v>2934</v>
      </c>
      <c r="O189" s="10" t="s">
        <v>159</v>
      </c>
    </row>
    <row r="190" spans="1:15" ht="32.1" customHeight="1" x14ac:dyDescent="0.25">
      <c r="A190" s="10" t="s">
        <v>56</v>
      </c>
      <c r="B190" s="10" t="s">
        <v>121</v>
      </c>
      <c r="C190" s="10" t="s">
        <v>59</v>
      </c>
      <c r="D190" s="10" t="s">
        <v>59</v>
      </c>
      <c r="E190" s="10" t="s">
        <v>63</v>
      </c>
      <c r="F190" s="10" t="s">
        <v>43</v>
      </c>
      <c r="G190" s="12">
        <v>29.34</v>
      </c>
      <c r="H190" s="12">
        <v>28.88</v>
      </c>
      <c r="I190" s="12">
        <v>29.8</v>
      </c>
      <c r="J190" s="11">
        <v>5</v>
      </c>
      <c r="K190" s="10" t="s">
        <v>157</v>
      </c>
      <c r="L190" s="11">
        <v>2000</v>
      </c>
      <c r="M190" s="10" t="s">
        <v>158</v>
      </c>
      <c r="N190" s="11">
        <v>2934</v>
      </c>
      <c r="O190" s="10" t="s">
        <v>159</v>
      </c>
    </row>
    <row r="191" spans="1:15" ht="32.1" customHeight="1" x14ac:dyDescent="0.25">
      <c r="A191" s="10" t="s">
        <v>56</v>
      </c>
      <c r="B191" s="10" t="s">
        <v>121</v>
      </c>
      <c r="C191" s="10" t="s">
        <v>59</v>
      </c>
      <c r="D191" s="10" t="s">
        <v>59</v>
      </c>
      <c r="E191" s="10" t="s">
        <v>63</v>
      </c>
      <c r="F191" s="10" t="s">
        <v>46</v>
      </c>
      <c r="G191" s="12">
        <v>1.16117282098564</v>
      </c>
      <c r="H191" s="12">
        <v>0.883486598177466</v>
      </c>
      <c r="I191" s="12">
        <v>1.4095018363311049</v>
      </c>
      <c r="J191" s="11">
        <v>5</v>
      </c>
      <c r="K191" s="10" t="s">
        <v>157</v>
      </c>
      <c r="L191" s="11">
        <v>2000</v>
      </c>
      <c r="M191" s="10" t="s">
        <v>158</v>
      </c>
      <c r="N191" s="11">
        <v>2934</v>
      </c>
      <c r="O191" s="10" t="s">
        <v>159</v>
      </c>
    </row>
    <row r="192" spans="1:15" ht="32.1" customHeight="1" x14ac:dyDescent="0.25">
      <c r="A192" s="10" t="s">
        <v>56</v>
      </c>
      <c r="B192" s="10" t="s">
        <v>121</v>
      </c>
      <c r="C192" s="10" t="s">
        <v>59</v>
      </c>
      <c r="D192" s="10" t="s">
        <v>59</v>
      </c>
      <c r="E192" s="10" t="s">
        <v>64</v>
      </c>
      <c r="F192" s="10" t="s">
        <v>34</v>
      </c>
      <c r="G192" s="12">
        <v>63.445074836740638</v>
      </c>
      <c r="H192" s="12">
        <v>60.874348382926968</v>
      </c>
      <c r="I192" s="12">
        <v>66.095911810685138</v>
      </c>
      <c r="J192" s="11">
        <v>5</v>
      </c>
      <c r="K192" s="10" t="s">
        <v>157</v>
      </c>
      <c r="L192" s="11">
        <v>2000</v>
      </c>
      <c r="M192" s="10" t="s">
        <v>158</v>
      </c>
      <c r="N192" s="11">
        <v>783</v>
      </c>
      <c r="O192" s="10" t="s">
        <v>159</v>
      </c>
    </row>
    <row r="193" spans="1:15" ht="32.1" customHeight="1" x14ac:dyDescent="0.25">
      <c r="A193" s="10" t="s">
        <v>56</v>
      </c>
      <c r="B193" s="10" t="s">
        <v>121</v>
      </c>
      <c r="C193" s="10" t="s">
        <v>59</v>
      </c>
      <c r="D193" s="10" t="s">
        <v>59</v>
      </c>
      <c r="E193" s="10" t="s">
        <v>64</v>
      </c>
      <c r="F193" s="10" t="s">
        <v>35</v>
      </c>
      <c r="G193" s="12">
        <v>125.3370089811124</v>
      </c>
      <c r="H193" s="12">
        <v>116.52898545788</v>
      </c>
      <c r="I193" s="12">
        <v>133.13712484328639</v>
      </c>
      <c r="J193" s="11">
        <v>5</v>
      </c>
      <c r="K193" s="10" t="s">
        <v>157</v>
      </c>
      <c r="L193" s="11">
        <v>2000</v>
      </c>
      <c r="M193" s="10" t="s">
        <v>158</v>
      </c>
      <c r="N193" s="11">
        <v>783</v>
      </c>
      <c r="O193" s="10" t="s">
        <v>159</v>
      </c>
    </row>
    <row r="194" spans="1:15" ht="32.1" customHeight="1" x14ac:dyDescent="0.25">
      <c r="A194" s="10" t="s">
        <v>56</v>
      </c>
      <c r="B194" s="10" t="s">
        <v>121</v>
      </c>
      <c r="C194" s="10" t="s">
        <v>59</v>
      </c>
      <c r="D194" s="10" t="s">
        <v>59</v>
      </c>
      <c r="E194" s="10" t="s">
        <v>64</v>
      </c>
      <c r="F194" s="10" t="s">
        <v>36</v>
      </c>
      <c r="G194" s="12">
        <v>153.14699419840801</v>
      </c>
      <c r="H194" s="12">
        <v>138.05720112585561</v>
      </c>
      <c r="I194" s="12">
        <v>167.84049947703971</v>
      </c>
      <c r="J194" s="11">
        <v>5</v>
      </c>
      <c r="K194" s="10" t="s">
        <v>157</v>
      </c>
      <c r="L194" s="11">
        <v>2000</v>
      </c>
      <c r="M194" s="10" t="s">
        <v>158</v>
      </c>
      <c r="N194" s="11">
        <v>783</v>
      </c>
      <c r="O194" s="10" t="s">
        <v>159</v>
      </c>
    </row>
    <row r="195" spans="1:15" ht="32.1" customHeight="1" x14ac:dyDescent="0.25">
      <c r="A195" s="10" t="s">
        <v>56</v>
      </c>
      <c r="B195" s="10" t="s">
        <v>121</v>
      </c>
      <c r="C195" s="10" t="s">
        <v>59</v>
      </c>
      <c r="D195" s="10" t="s">
        <v>59</v>
      </c>
      <c r="E195" s="10" t="s">
        <v>64</v>
      </c>
      <c r="F195" s="10" t="s">
        <v>33</v>
      </c>
      <c r="G195" s="12">
        <v>68.538966209612838</v>
      </c>
      <c r="H195" s="12">
        <v>65.282484624201359</v>
      </c>
      <c r="I195" s="12">
        <v>70.892557579029642</v>
      </c>
      <c r="J195" s="11">
        <v>5</v>
      </c>
      <c r="K195" s="10" t="s">
        <v>157</v>
      </c>
      <c r="L195" s="11">
        <v>2000</v>
      </c>
      <c r="M195" s="10" t="s">
        <v>158</v>
      </c>
      <c r="N195" s="11">
        <v>783</v>
      </c>
      <c r="O195" s="10" t="s">
        <v>159</v>
      </c>
    </row>
    <row r="196" spans="1:15" ht="32.1" customHeight="1" x14ac:dyDescent="0.25">
      <c r="A196" s="10" t="s">
        <v>56</v>
      </c>
      <c r="B196" s="10" t="s">
        <v>121</v>
      </c>
      <c r="C196" s="10" t="s">
        <v>59</v>
      </c>
      <c r="D196" s="10" t="s">
        <v>59</v>
      </c>
      <c r="E196" s="10" t="s">
        <v>64</v>
      </c>
      <c r="F196" s="10" t="s">
        <v>43</v>
      </c>
      <c r="G196" s="12">
        <v>7.83</v>
      </c>
      <c r="H196" s="12">
        <v>7.5299999999999994</v>
      </c>
      <c r="I196" s="12">
        <v>8.1300000000000008</v>
      </c>
      <c r="J196" s="11">
        <v>5</v>
      </c>
      <c r="K196" s="10" t="s">
        <v>157</v>
      </c>
      <c r="L196" s="11">
        <v>2000</v>
      </c>
      <c r="M196" s="10" t="s">
        <v>158</v>
      </c>
      <c r="N196" s="11">
        <v>783</v>
      </c>
      <c r="O196" s="10" t="s">
        <v>159</v>
      </c>
    </row>
    <row r="197" spans="1:15" ht="32.1" customHeight="1" x14ac:dyDescent="0.25">
      <c r="A197" s="10" t="s">
        <v>56</v>
      </c>
      <c r="B197" s="10" t="s">
        <v>121</v>
      </c>
      <c r="C197" s="10" t="s">
        <v>59</v>
      </c>
      <c r="D197" s="10" t="s">
        <v>59</v>
      </c>
      <c r="E197" s="10" t="s">
        <v>64</v>
      </c>
      <c r="F197" s="10" t="s">
        <v>46</v>
      </c>
      <c r="G197" s="12">
        <v>1.9227150160681381</v>
      </c>
      <c r="H197" s="12">
        <v>1.1617659111837511</v>
      </c>
      <c r="I197" s="12">
        <v>2.6135820181731231</v>
      </c>
      <c r="J197" s="11">
        <v>5</v>
      </c>
      <c r="K197" s="10" t="s">
        <v>157</v>
      </c>
      <c r="L197" s="11">
        <v>2000</v>
      </c>
      <c r="M197" s="10" t="s">
        <v>158</v>
      </c>
      <c r="N197" s="11">
        <v>783</v>
      </c>
      <c r="O197" s="10" t="s">
        <v>159</v>
      </c>
    </row>
    <row r="198" spans="1:15" ht="32.1" customHeight="1" x14ac:dyDescent="0.25">
      <c r="A198" s="10" t="s">
        <v>56</v>
      </c>
      <c r="B198" s="10" t="s">
        <v>121</v>
      </c>
      <c r="C198" s="10" t="s">
        <v>3</v>
      </c>
      <c r="D198" s="10" t="s">
        <v>77</v>
      </c>
      <c r="E198" s="10" t="s">
        <v>5</v>
      </c>
      <c r="F198" s="10" t="s">
        <v>34</v>
      </c>
      <c r="G198" s="12">
        <v>41.714201410031919</v>
      </c>
      <c r="H198" s="12">
        <v>38.419474630257177</v>
      </c>
      <c r="I198" s="12">
        <v>44.802882306723369</v>
      </c>
      <c r="J198" s="11">
        <v>5</v>
      </c>
      <c r="K198" s="10" t="s">
        <v>157</v>
      </c>
      <c r="L198" s="11">
        <v>2000</v>
      </c>
      <c r="M198" s="10" t="s">
        <v>158</v>
      </c>
      <c r="N198" s="11">
        <v>4500</v>
      </c>
      <c r="O198" s="10" t="s">
        <v>159</v>
      </c>
    </row>
    <row r="199" spans="1:15" ht="32.1" customHeight="1" x14ac:dyDescent="0.25">
      <c r="A199" s="10" t="s">
        <v>56</v>
      </c>
      <c r="B199" s="10" t="s">
        <v>121</v>
      </c>
      <c r="C199" s="10" t="s">
        <v>3</v>
      </c>
      <c r="D199" s="10" t="s">
        <v>77</v>
      </c>
      <c r="E199" s="10" t="s">
        <v>5</v>
      </c>
      <c r="F199" s="10" t="s">
        <v>35</v>
      </c>
      <c r="G199" s="12">
        <v>122.3089005661639</v>
      </c>
      <c r="H199" s="12">
        <v>110.9750718058756</v>
      </c>
      <c r="I199" s="12">
        <v>131.7647404319635</v>
      </c>
      <c r="J199" s="11">
        <v>5</v>
      </c>
      <c r="K199" s="10" t="s">
        <v>157</v>
      </c>
      <c r="L199" s="11">
        <v>2000</v>
      </c>
      <c r="M199" s="10" t="s">
        <v>158</v>
      </c>
      <c r="N199" s="11">
        <v>4500</v>
      </c>
      <c r="O199" s="10" t="s">
        <v>159</v>
      </c>
    </row>
    <row r="200" spans="1:15" ht="32.1" customHeight="1" x14ac:dyDescent="0.25">
      <c r="A200" s="10" t="s">
        <v>56</v>
      </c>
      <c r="B200" s="10" t="s">
        <v>121</v>
      </c>
      <c r="C200" s="10" t="s">
        <v>3</v>
      </c>
      <c r="D200" s="10" t="s">
        <v>77</v>
      </c>
      <c r="E200" s="10" t="s">
        <v>5</v>
      </c>
      <c r="F200" s="10" t="s">
        <v>36</v>
      </c>
      <c r="G200" s="12">
        <v>202.21702973616311</v>
      </c>
      <c r="H200" s="12">
        <v>184.7566913336473</v>
      </c>
      <c r="I200" s="12">
        <v>217.1977147179872</v>
      </c>
      <c r="J200" s="11">
        <v>5</v>
      </c>
      <c r="K200" s="10" t="s">
        <v>157</v>
      </c>
      <c r="L200" s="11">
        <v>2000</v>
      </c>
      <c r="M200" s="10" t="s">
        <v>158</v>
      </c>
      <c r="N200" s="11">
        <v>4500</v>
      </c>
      <c r="O200" s="10" t="s">
        <v>159</v>
      </c>
    </row>
    <row r="201" spans="1:15" ht="32.1" customHeight="1" x14ac:dyDescent="0.25">
      <c r="A201" s="10" t="s">
        <v>56</v>
      </c>
      <c r="B201" s="10" t="s">
        <v>121</v>
      </c>
      <c r="C201" s="10" t="s">
        <v>3</v>
      </c>
      <c r="D201" s="10" t="s">
        <v>77</v>
      </c>
      <c r="E201" s="10" t="s">
        <v>5</v>
      </c>
      <c r="F201" s="10" t="s">
        <v>33</v>
      </c>
      <c r="G201" s="12">
        <v>54.475682197409029</v>
      </c>
      <c r="H201" s="12">
        <v>50.028263570223203</v>
      </c>
      <c r="I201" s="12">
        <v>58.571440643738342</v>
      </c>
      <c r="J201" s="11">
        <v>5</v>
      </c>
      <c r="K201" s="10" t="s">
        <v>157</v>
      </c>
      <c r="L201" s="11">
        <v>2000</v>
      </c>
      <c r="M201" s="10" t="s">
        <v>158</v>
      </c>
      <c r="N201" s="11">
        <v>4500</v>
      </c>
      <c r="O201" s="10" t="s">
        <v>159</v>
      </c>
    </row>
    <row r="202" spans="1:15" ht="32.1" customHeight="1" x14ac:dyDescent="0.25">
      <c r="A202" s="10" t="s">
        <v>56</v>
      </c>
      <c r="B202" s="10" t="s">
        <v>121</v>
      </c>
      <c r="C202" s="10" t="s">
        <v>3</v>
      </c>
      <c r="D202" s="10" t="s">
        <v>77</v>
      </c>
      <c r="E202" s="10" t="s">
        <v>5</v>
      </c>
      <c r="F202" s="10" t="s">
        <v>43</v>
      </c>
      <c r="G202" s="12">
        <v>49.888888888888893</v>
      </c>
      <c r="H202" s="12">
        <v>49.855555555555561</v>
      </c>
      <c r="I202" s="12">
        <v>49.922222222222217</v>
      </c>
      <c r="J202" s="11">
        <v>5</v>
      </c>
      <c r="K202" s="10" t="s">
        <v>157</v>
      </c>
      <c r="L202" s="11">
        <v>2000</v>
      </c>
      <c r="M202" s="10" t="s">
        <v>158</v>
      </c>
      <c r="N202" s="11">
        <v>4500</v>
      </c>
      <c r="O202" s="10" t="s">
        <v>159</v>
      </c>
    </row>
    <row r="203" spans="1:15" ht="32.1" customHeight="1" x14ac:dyDescent="0.25">
      <c r="A203" s="10" t="s">
        <v>56</v>
      </c>
      <c r="B203" s="10" t="s">
        <v>121</v>
      </c>
      <c r="C203" s="10" t="s">
        <v>3</v>
      </c>
      <c r="D203" s="10" t="s">
        <v>77</v>
      </c>
      <c r="E203" s="10" t="s">
        <v>5</v>
      </c>
      <c r="F203" s="10" t="s">
        <v>46</v>
      </c>
      <c r="G203" s="12">
        <v>1.3111111111111109</v>
      </c>
      <c r="H203" s="12">
        <v>1.088888888888889</v>
      </c>
      <c r="I203" s="12">
        <v>1.5777777777777779</v>
      </c>
      <c r="J203" s="11">
        <v>5</v>
      </c>
      <c r="K203" s="10" t="s">
        <v>157</v>
      </c>
      <c r="L203" s="11">
        <v>2000</v>
      </c>
      <c r="M203" s="10" t="s">
        <v>158</v>
      </c>
      <c r="N203" s="11">
        <v>4500</v>
      </c>
      <c r="O203" s="10" t="s">
        <v>159</v>
      </c>
    </row>
    <row r="204" spans="1:15" ht="32.1" customHeight="1" x14ac:dyDescent="0.25">
      <c r="A204" s="10" t="s">
        <v>56</v>
      </c>
      <c r="B204" s="10" t="s">
        <v>121</v>
      </c>
      <c r="C204" s="10" t="s">
        <v>3</v>
      </c>
      <c r="D204" s="10" t="s">
        <v>77</v>
      </c>
      <c r="E204" s="10" t="s">
        <v>62</v>
      </c>
      <c r="F204" s="10" t="s">
        <v>34</v>
      </c>
      <c r="G204" s="12">
        <v>113.6876749105882</v>
      </c>
      <c r="H204" s="12">
        <v>101.9349141166264</v>
      </c>
      <c r="I204" s="12">
        <v>122.5661886984394</v>
      </c>
      <c r="J204" s="11">
        <v>5</v>
      </c>
      <c r="K204" s="10" t="s">
        <v>157</v>
      </c>
      <c r="L204" s="11">
        <v>2000</v>
      </c>
      <c r="M204" s="10" t="s">
        <v>158</v>
      </c>
      <c r="N204" s="11">
        <v>461</v>
      </c>
      <c r="O204" s="10" t="s">
        <v>159</v>
      </c>
    </row>
    <row r="205" spans="1:15" ht="32.1" customHeight="1" x14ac:dyDescent="0.25">
      <c r="A205" s="10" t="s">
        <v>56</v>
      </c>
      <c r="B205" s="10" t="s">
        <v>121</v>
      </c>
      <c r="C205" s="10" t="s">
        <v>3</v>
      </c>
      <c r="D205" s="10" t="s">
        <v>77</v>
      </c>
      <c r="E205" s="10" t="s">
        <v>62</v>
      </c>
      <c r="F205" s="10" t="s">
        <v>35</v>
      </c>
      <c r="G205" s="12">
        <v>211.43612255304009</v>
      </c>
      <c r="H205" s="12">
        <v>195.76982478415749</v>
      </c>
      <c r="I205" s="12">
        <v>225.9637281784301</v>
      </c>
      <c r="J205" s="11">
        <v>5</v>
      </c>
      <c r="K205" s="10" t="s">
        <v>157</v>
      </c>
      <c r="L205" s="11">
        <v>2000</v>
      </c>
      <c r="M205" s="10" t="s">
        <v>158</v>
      </c>
      <c r="N205" s="11">
        <v>461</v>
      </c>
      <c r="O205" s="10" t="s">
        <v>159</v>
      </c>
    </row>
    <row r="206" spans="1:15" ht="32.1" customHeight="1" x14ac:dyDescent="0.25">
      <c r="A206" s="10" t="s">
        <v>56</v>
      </c>
      <c r="B206" s="10" t="s">
        <v>121</v>
      </c>
      <c r="C206" s="10" t="s">
        <v>3</v>
      </c>
      <c r="D206" s="10" t="s">
        <v>77</v>
      </c>
      <c r="E206" s="10" t="s">
        <v>62</v>
      </c>
      <c r="F206" s="10" t="s">
        <v>36</v>
      </c>
      <c r="G206" s="12">
        <v>280.18872802364632</v>
      </c>
      <c r="H206" s="12">
        <v>228.30610197308161</v>
      </c>
      <c r="I206" s="12">
        <v>358.31716336739498</v>
      </c>
      <c r="J206" s="11">
        <v>5</v>
      </c>
      <c r="K206" s="10" t="s">
        <v>157</v>
      </c>
      <c r="L206" s="11">
        <v>2000</v>
      </c>
      <c r="M206" s="10" t="s">
        <v>158</v>
      </c>
      <c r="N206" s="11">
        <v>461</v>
      </c>
      <c r="O206" s="10" t="s">
        <v>159</v>
      </c>
    </row>
    <row r="207" spans="1:15" ht="32.1" customHeight="1" x14ac:dyDescent="0.25">
      <c r="A207" s="10" t="s">
        <v>56</v>
      </c>
      <c r="B207" s="10" t="s">
        <v>121</v>
      </c>
      <c r="C207" s="10" t="s">
        <v>3</v>
      </c>
      <c r="D207" s="10" t="s">
        <v>77</v>
      </c>
      <c r="E207" s="10" t="s">
        <v>62</v>
      </c>
      <c r="F207" s="10" t="s">
        <v>33</v>
      </c>
      <c r="G207" s="12">
        <v>124.59383599776</v>
      </c>
      <c r="H207" s="12">
        <v>114.06833799920111</v>
      </c>
      <c r="I207" s="12">
        <v>133.23509732265211</v>
      </c>
      <c r="J207" s="11">
        <v>5</v>
      </c>
      <c r="K207" s="10" t="s">
        <v>157</v>
      </c>
      <c r="L207" s="11">
        <v>2000</v>
      </c>
      <c r="M207" s="10" t="s">
        <v>158</v>
      </c>
      <c r="N207" s="11">
        <v>461</v>
      </c>
      <c r="O207" s="10" t="s">
        <v>159</v>
      </c>
    </row>
    <row r="208" spans="1:15" ht="32.1" customHeight="1" x14ac:dyDescent="0.25">
      <c r="A208" s="10" t="s">
        <v>56</v>
      </c>
      <c r="B208" s="10" t="s">
        <v>121</v>
      </c>
      <c r="C208" s="10" t="s">
        <v>3</v>
      </c>
      <c r="D208" s="10" t="s">
        <v>77</v>
      </c>
      <c r="E208" s="10" t="s">
        <v>62</v>
      </c>
      <c r="F208" s="10" t="s">
        <v>43</v>
      </c>
      <c r="G208" s="12">
        <v>5.0888888888888886</v>
      </c>
      <c r="H208" s="12">
        <v>4.6999999999999993</v>
      </c>
      <c r="I208" s="12">
        <v>5.4777777777777787</v>
      </c>
      <c r="J208" s="11">
        <v>5</v>
      </c>
      <c r="K208" s="10" t="s">
        <v>157</v>
      </c>
      <c r="L208" s="11">
        <v>2000</v>
      </c>
      <c r="M208" s="10" t="s">
        <v>158</v>
      </c>
      <c r="N208" s="11">
        <v>461</v>
      </c>
      <c r="O208" s="10" t="s">
        <v>159</v>
      </c>
    </row>
    <row r="209" spans="1:15" ht="32.1" customHeight="1" x14ac:dyDescent="0.25">
      <c r="A209" s="10" t="s">
        <v>56</v>
      </c>
      <c r="B209" s="10" t="s">
        <v>121</v>
      </c>
      <c r="C209" s="10" t="s">
        <v>3</v>
      </c>
      <c r="D209" s="10" t="s">
        <v>77</v>
      </c>
      <c r="E209" s="10" t="s">
        <v>62</v>
      </c>
      <c r="F209" s="10" t="s">
        <v>46</v>
      </c>
      <c r="G209" s="12">
        <v>1.0578754578754579</v>
      </c>
      <c r="H209" s="12">
        <v>0.2197802197802198</v>
      </c>
      <c r="I209" s="12">
        <v>2.038095238095238</v>
      </c>
      <c r="J209" s="11">
        <v>5</v>
      </c>
      <c r="K209" s="10" t="s">
        <v>157</v>
      </c>
      <c r="L209" s="11">
        <v>2000</v>
      </c>
      <c r="M209" s="10" t="s">
        <v>158</v>
      </c>
      <c r="N209" s="11">
        <v>461</v>
      </c>
      <c r="O209" s="10" t="s">
        <v>159</v>
      </c>
    </row>
    <row r="210" spans="1:15" ht="32.1" customHeight="1" x14ac:dyDescent="0.25">
      <c r="A210" s="10" t="s">
        <v>56</v>
      </c>
      <c r="B210" s="10" t="s">
        <v>121</v>
      </c>
      <c r="C210" s="10" t="s">
        <v>3</v>
      </c>
      <c r="D210" s="10" t="s">
        <v>77</v>
      </c>
      <c r="E210" s="10" t="s">
        <v>63</v>
      </c>
      <c r="F210" s="10" t="s">
        <v>34</v>
      </c>
      <c r="G210" s="12">
        <v>36.322027905179887</v>
      </c>
      <c r="H210" s="12">
        <v>33.615493706616967</v>
      </c>
      <c r="I210" s="12">
        <v>38.842900180034214</v>
      </c>
      <c r="J210" s="11">
        <v>5</v>
      </c>
      <c r="K210" s="10" t="s">
        <v>157</v>
      </c>
      <c r="L210" s="11">
        <v>2000</v>
      </c>
      <c r="M210" s="10" t="s">
        <v>158</v>
      </c>
      <c r="N210" s="11">
        <v>3105</v>
      </c>
      <c r="O210" s="10" t="s">
        <v>159</v>
      </c>
    </row>
    <row r="211" spans="1:15" ht="32.1" customHeight="1" x14ac:dyDescent="0.25">
      <c r="A211" s="10" t="s">
        <v>56</v>
      </c>
      <c r="B211" s="10" t="s">
        <v>121</v>
      </c>
      <c r="C211" s="10" t="s">
        <v>3</v>
      </c>
      <c r="D211" s="10" t="s">
        <v>77</v>
      </c>
      <c r="E211" s="10" t="s">
        <v>63</v>
      </c>
      <c r="F211" s="10" t="s">
        <v>35</v>
      </c>
      <c r="G211" s="12">
        <v>69.343467439978014</v>
      </c>
      <c r="H211" s="12">
        <v>64.379001551332749</v>
      </c>
      <c r="I211" s="12">
        <v>74.268455457700128</v>
      </c>
      <c r="J211" s="11">
        <v>5</v>
      </c>
      <c r="K211" s="10" t="s">
        <v>157</v>
      </c>
      <c r="L211" s="11">
        <v>2000</v>
      </c>
      <c r="M211" s="10" t="s">
        <v>158</v>
      </c>
      <c r="N211" s="11">
        <v>3105</v>
      </c>
      <c r="O211" s="10" t="s">
        <v>159</v>
      </c>
    </row>
    <row r="212" spans="1:15" ht="32.1" customHeight="1" x14ac:dyDescent="0.25">
      <c r="A212" s="10" t="s">
        <v>56</v>
      </c>
      <c r="B212" s="10" t="s">
        <v>121</v>
      </c>
      <c r="C212" s="10" t="s">
        <v>3</v>
      </c>
      <c r="D212" s="10" t="s">
        <v>77</v>
      </c>
      <c r="E212" s="10" t="s">
        <v>63</v>
      </c>
      <c r="F212" s="10" t="s">
        <v>36</v>
      </c>
      <c r="G212" s="12">
        <v>139.37441654764291</v>
      </c>
      <c r="H212" s="12">
        <v>85.109841394521141</v>
      </c>
      <c r="I212" s="12">
        <v>233.41544546965869</v>
      </c>
      <c r="J212" s="11">
        <v>5</v>
      </c>
      <c r="K212" s="10" t="s">
        <v>157</v>
      </c>
      <c r="L212" s="11">
        <v>2000</v>
      </c>
      <c r="M212" s="10" t="s">
        <v>158</v>
      </c>
      <c r="N212" s="11">
        <v>3105</v>
      </c>
      <c r="O212" s="10" t="s">
        <v>159</v>
      </c>
    </row>
    <row r="213" spans="1:15" ht="32.1" customHeight="1" x14ac:dyDescent="0.25">
      <c r="A213" s="10" t="s">
        <v>56</v>
      </c>
      <c r="B213" s="10" t="s">
        <v>121</v>
      </c>
      <c r="C213" s="10" t="s">
        <v>3</v>
      </c>
      <c r="D213" s="10" t="s">
        <v>77</v>
      </c>
      <c r="E213" s="10" t="s">
        <v>63</v>
      </c>
      <c r="F213" s="10" t="s">
        <v>33</v>
      </c>
      <c r="G213" s="12">
        <v>41.668742167413953</v>
      </c>
      <c r="H213" s="12">
        <v>37.676599236062927</v>
      </c>
      <c r="I213" s="12">
        <v>45.660885098764957</v>
      </c>
      <c r="J213" s="11">
        <v>5</v>
      </c>
      <c r="K213" s="10" t="s">
        <v>157</v>
      </c>
      <c r="L213" s="11">
        <v>2000</v>
      </c>
      <c r="M213" s="10" t="s">
        <v>158</v>
      </c>
      <c r="N213" s="11">
        <v>3105</v>
      </c>
      <c r="O213" s="10" t="s">
        <v>159</v>
      </c>
    </row>
    <row r="214" spans="1:15" ht="32.1" customHeight="1" x14ac:dyDescent="0.25">
      <c r="A214" s="10" t="s">
        <v>56</v>
      </c>
      <c r="B214" s="10" t="s">
        <v>121</v>
      </c>
      <c r="C214" s="10" t="s">
        <v>3</v>
      </c>
      <c r="D214" s="10" t="s">
        <v>77</v>
      </c>
      <c r="E214" s="10" t="s">
        <v>63</v>
      </c>
      <c r="F214" s="10" t="s">
        <v>43</v>
      </c>
      <c r="G214" s="12">
        <v>34.444444444444443</v>
      </c>
      <c r="H214" s="12">
        <v>33.900000000000013</v>
      </c>
      <c r="I214" s="12">
        <v>35.144444444444453</v>
      </c>
      <c r="J214" s="11">
        <v>5</v>
      </c>
      <c r="K214" s="10" t="s">
        <v>157</v>
      </c>
      <c r="L214" s="11">
        <v>2000</v>
      </c>
      <c r="M214" s="10" t="s">
        <v>158</v>
      </c>
      <c r="N214" s="11">
        <v>3105</v>
      </c>
      <c r="O214" s="10" t="s">
        <v>159</v>
      </c>
    </row>
    <row r="215" spans="1:15" ht="32.1" customHeight="1" x14ac:dyDescent="0.25">
      <c r="A215" s="10" t="s">
        <v>56</v>
      </c>
      <c r="B215" s="10" t="s">
        <v>121</v>
      </c>
      <c r="C215" s="10" t="s">
        <v>3</v>
      </c>
      <c r="D215" s="10" t="s">
        <v>77</v>
      </c>
      <c r="E215" s="10" t="s">
        <v>63</v>
      </c>
      <c r="F215" s="10" t="s">
        <v>46</v>
      </c>
      <c r="G215" s="12">
        <v>1.41634629380549</v>
      </c>
      <c r="H215" s="12">
        <v>1.199889225564962</v>
      </c>
      <c r="I215" s="12">
        <v>1.6380370767818639</v>
      </c>
      <c r="J215" s="11">
        <v>5</v>
      </c>
      <c r="K215" s="10" t="s">
        <v>157</v>
      </c>
      <c r="L215" s="11">
        <v>2000</v>
      </c>
      <c r="M215" s="10" t="s">
        <v>158</v>
      </c>
      <c r="N215" s="11">
        <v>3105</v>
      </c>
      <c r="O215" s="10" t="s">
        <v>159</v>
      </c>
    </row>
    <row r="216" spans="1:15" ht="32.1" customHeight="1" x14ac:dyDescent="0.25">
      <c r="A216" s="10" t="s">
        <v>56</v>
      </c>
      <c r="B216" s="10" t="s">
        <v>121</v>
      </c>
      <c r="C216" s="10" t="s">
        <v>3</v>
      </c>
      <c r="D216" s="10" t="s">
        <v>77</v>
      </c>
      <c r="E216" s="10" t="s">
        <v>64</v>
      </c>
      <c r="F216" s="10" t="s">
        <v>34</v>
      </c>
      <c r="G216" s="12">
        <v>53.772596108113802</v>
      </c>
      <c r="H216" s="12">
        <v>49.318502687195249</v>
      </c>
      <c r="I216" s="12">
        <v>58.496822102722128</v>
      </c>
      <c r="J216" s="11">
        <v>5</v>
      </c>
      <c r="K216" s="10" t="s">
        <v>157</v>
      </c>
      <c r="L216" s="11">
        <v>2000</v>
      </c>
      <c r="M216" s="10" t="s">
        <v>158</v>
      </c>
      <c r="N216" s="11">
        <v>934</v>
      </c>
      <c r="O216" s="10" t="s">
        <v>159</v>
      </c>
    </row>
    <row r="217" spans="1:15" ht="32.1" customHeight="1" x14ac:dyDescent="0.25">
      <c r="A217" s="10" t="s">
        <v>56</v>
      </c>
      <c r="B217" s="10" t="s">
        <v>121</v>
      </c>
      <c r="C217" s="10" t="s">
        <v>3</v>
      </c>
      <c r="D217" s="10" t="s">
        <v>77</v>
      </c>
      <c r="E217" s="10" t="s">
        <v>64</v>
      </c>
      <c r="F217" s="10" t="s">
        <v>35</v>
      </c>
      <c r="G217" s="12">
        <v>97.920604446087225</v>
      </c>
      <c r="H217" s="12">
        <v>91.845652066492306</v>
      </c>
      <c r="I217" s="12">
        <v>103.3051664806397</v>
      </c>
      <c r="J217" s="11">
        <v>5</v>
      </c>
      <c r="K217" s="10" t="s">
        <v>157</v>
      </c>
      <c r="L217" s="11">
        <v>2000</v>
      </c>
      <c r="M217" s="10" t="s">
        <v>158</v>
      </c>
      <c r="N217" s="11">
        <v>934</v>
      </c>
      <c r="O217" s="10" t="s">
        <v>159</v>
      </c>
    </row>
    <row r="218" spans="1:15" ht="32.1" customHeight="1" x14ac:dyDescent="0.25">
      <c r="A218" s="10" t="s">
        <v>56</v>
      </c>
      <c r="B218" s="10" t="s">
        <v>121</v>
      </c>
      <c r="C218" s="10" t="s">
        <v>3</v>
      </c>
      <c r="D218" s="10" t="s">
        <v>77</v>
      </c>
      <c r="E218" s="10" t="s">
        <v>64</v>
      </c>
      <c r="F218" s="10" t="s">
        <v>36</v>
      </c>
      <c r="G218" s="12">
        <v>227.28842703895751</v>
      </c>
      <c r="H218" s="12">
        <v>114.9511015796884</v>
      </c>
      <c r="I218" s="12">
        <v>435.5147577725084</v>
      </c>
      <c r="J218" s="11">
        <v>5</v>
      </c>
      <c r="K218" s="10" t="s">
        <v>157</v>
      </c>
      <c r="L218" s="11">
        <v>2000</v>
      </c>
      <c r="M218" s="10" t="s">
        <v>158</v>
      </c>
      <c r="N218" s="11">
        <v>934</v>
      </c>
      <c r="O218" s="10" t="s">
        <v>159</v>
      </c>
    </row>
    <row r="219" spans="1:15" ht="32.1" customHeight="1" x14ac:dyDescent="0.25">
      <c r="A219" s="10" t="s">
        <v>56</v>
      </c>
      <c r="B219" s="10" t="s">
        <v>121</v>
      </c>
      <c r="C219" s="10" t="s">
        <v>3</v>
      </c>
      <c r="D219" s="10" t="s">
        <v>77</v>
      </c>
      <c r="E219" s="10" t="s">
        <v>64</v>
      </c>
      <c r="F219" s="10" t="s">
        <v>33</v>
      </c>
      <c r="G219" s="12">
        <v>62.337315046306173</v>
      </c>
      <c r="H219" s="12">
        <v>55.492981971046049</v>
      </c>
      <c r="I219" s="12">
        <v>68.666450307345514</v>
      </c>
      <c r="J219" s="11">
        <v>5</v>
      </c>
      <c r="K219" s="10" t="s">
        <v>157</v>
      </c>
      <c r="L219" s="11">
        <v>2000</v>
      </c>
      <c r="M219" s="10" t="s">
        <v>158</v>
      </c>
      <c r="N219" s="11">
        <v>934</v>
      </c>
      <c r="O219" s="10" t="s">
        <v>159</v>
      </c>
    </row>
    <row r="220" spans="1:15" ht="32.1" customHeight="1" x14ac:dyDescent="0.25">
      <c r="A220" s="10" t="s">
        <v>56</v>
      </c>
      <c r="B220" s="10" t="s">
        <v>121</v>
      </c>
      <c r="C220" s="10" t="s">
        <v>3</v>
      </c>
      <c r="D220" s="10" t="s">
        <v>77</v>
      </c>
      <c r="E220" s="10" t="s">
        <v>64</v>
      </c>
      <c r="F220" s="10" t="s">
        <v>43</v>
      </c>
      <c r="G220" s="12">
        <v>10.35555555555556</v>
      </c>
      <c r="H220" s="12">
        <v>9.9</v>
      </c>
      <c r="I220" s="12">
        <v>10.72305555555555</v>
      </c>
      <c r="J220" s="11">
        <v>5</v>
      </c>
      <c r="K220" s="10" t="s">
        <v>157</v>
      </c>
      <c r="L220" s="11">
        <v>2000</v>
      </c>
      <c r="M220" s="10" t="s">
        <v>158</v>
      </c>
      <c r="N220" s="11">
        <v>934</v>
      </c>
      <c r="O220" s="10" t="s">
        <v>159</v>
      </c>
    </row>
    <row r="221" spans="1:15" ht="32.1" customHeight="1" x14ac:dyDescent="0.25">
      <c r="A221" s="10" t="s">
        <v>56</v>
      </c>
      <c r="B221" s="10" t="s">
        <v>121</v>
      </c>
      <c r="C221" s="10" t="s">
        <v>3</v>
      </c>
      <c r="D221" s="10" t="s">
        <v>77</v>
      </c>
      <c r="E221" s="10" t="s">
        <v>64</v>
      </c>
      <c r="F221" s="10" t="s">
        <v>46</v>
      </c>
      <c r="G221" s="12">
        <v>1.0488068282185929</v>
      </c>
      <c r="H221" s="12">
        <v>0.41823641823641822</v>
      </c>
      <c r="I221" s="12">
        <v>1.668236418236418</v>
      </c>
      <c r="J221" s="11">
        <v>5</v>
      </c>
      <c r="K221" s="10" t="s">
        <v>157</v>
      </c>
      <c r="L221" s="11">
        <v>2000</v>
      </c>
      <c r="M221" s="10" t="s">
        <v>158</v>
      </c>
      <c r="N221" s="11">
        <v>934</v>
      </c>
      <c r="O221" s="10" t="s">
        <v>159</v>
      </c>
    </row>
    <row r="222" spans="1:15" ht="32.1" customHeight="1" x14ac:dyDescent="0.25">
      <c r="A222" s="10" t="s">
        <v>56</v>
      </c>
      <c r="B222" s="10" t="s">
        <v>121</v>
      </c>
      <c r="C222" s="10" t="s">
        <v>3</v>
      </c>
      <c r="D222" s="10" t="s">
        <v>83</v>
      </c>
      <c r="E222" s="10" t="s">
        <v>5</v>
      </c>
      <c r="F222" s="10" t="s">
        <v>34</v>
      </c>
      <c r="G222" s="12">
        <v>40.305684629855527</v>
      </c>
      <c r="H222" s="12">
        <v>38.018296702054251</v>
      </c>
      <c r="I222" s="12">
        <v>41.82466281671357</v>
      </c>
      <c r="J222" s="11">
        <v>5</v>
      </c>
      <c r="K222" s="10" t="s">
        <v>157</v>
      </c>
      <c r="L222" s="11">
        <v>2000</v>
      </c>
      <c r="M222" s="10" t="s">
        <v>158</v>
      </c>
      <c r="N222" s="11">
        <v>450</v>
      </c>
      <c r="O222" s="10" t="s">
        <v>159</v>
      </c>
    </row>
    <row r="223" spans="1:15" ht="32.1" customHeight="1" x14ac:dyDescent="0.25">
      <c r="A223" s="10" t="s">
        <v>56</v>
      </c>
      <c r="B223" s="10" t="s">
        <v>121</v>
      </c>
      <c r="C223" s="10" t="s">
        <v>3</v>
      </c>
      <c r="D223" s="10" t="s">
        <v>83</v>
      </c>
      <c r="E223" s="10" t="s">
        <v>5</v>
      </c>
      <c r="F223" s="10" t="s">
        <v>35</v>
      </c>
      <c r="G223" s="12">
        <v>99.67510432489432</v>
      </c>
      <c r="H223" s="12">
        <v>84.747809503277466</v>
      </c>
      <c r="I223" s="12">
        <v>118.28003131239301</v>
      </c>
      <c r="J223" s="11">
        <v>5</v>
      </c>
      <c r="K223" s="10" t="s">
        <v>157</v>
      </c>
      <c r="L223" s="11">
        <v>2000</v>
      </c>
      <c r="M223" s="10" t="s">
        <v>158</v>
      </c>
      <c r="N223" s="11">
        <v>450</v>
      </c>
      <c r="O223" s="10" t="s">
        <v>159</v>
      </c>
    </row>
    <row r="224" spans="1:15" ht="32.1" customHeight="1" x14ac:dyDescent="0.25">
      <c r="A224" s="10" t="s">
        <v>56</v>
      </c>
      <c r="B224" s="10" t="s">
        <v>121</v>
      </c>
      <c r="C224" s="10" t="s">
        <v>3</v>
      </c>
      <c r="D224" s="10" t="s">
        <v>83</v>
      </c>
      <c r="E224" s="10" t="s">
        <v>5</v>
      </c>
      <c r="F224" s="10" t="s">
        <v>36</v>
      </c>
      <c r="G224" s="12">
        <v>142.56226571711599</v>
      </c>
      <c r="H224" s="12">
        <v>106.35233586198861</v>
      </c>
      <c r="I224" s="12">
        <v>193.80129919112679</v>
      </c>
      <c r="J224" s="11">
        <v>5</v>
      </c>
      <c r="K224" s="10" t="s">
        <v>157</v>
      </c>
      <c r="L224" s="11">
        <v>2000</v>
      </c>
      <c r="M224" s="10" t="s">
        <v>158</v>
      </c>
      <c r="N224" s="11">
        <v>450</v>
      </c>
      <c r="O224" s="10" t="s">
        <v>159</v>
      </c>
    </row>
    <row r="225" spans="1:15" ht="32.1" customHeight="1" x14ac:dyDescent="0.25">
      <c r="A225" s="10" t="s">
        <v>56</v>
      </c>
      <c r="B225" s="10" t="s">
        <v>121</v>
      </c>
      <c r="C225" s="10" t="s">
        <v>3</v>
      </c>
      <c r="D225" s="10" t="s">
        <v>83</v>
      </c>
      <c r="E225" s="10" t="s">
        <v>5</v>
      </c>
      <c r="F225" s="10" t="s">
        <v>33</v>
      </c>
      <c r="G225" s="12">
        <v>47.474458960145917</v>
      </c>
      <c r="H225" s="12">
        <v>43.847262082934002</v>
      </c>
      <c r="I225" s="12">
        <v>51.682758145521298</v>
      </c>
      <c r="J225" s="11">
        <v>5</v>
      </c>
      <c r="K225" s="10" t="s">
        <v>157</v>
      </c>
      <c r="L225" s="11">
        <v>2000</v>
      </c>
      <c r="M225" s="10" t="s">
        <v>158</v>
      </c>
      <c r="N225" s="11">
        <v>450</v>
      </c>
      <c r="O225" s="10" t="s">
        <v>159</v>
      </c>
    </row>
    <row r="226" spans="1:15" ht="32.1" customHeight="1" x14ac:dyDescent="0.25">
      <c r="A226" s="10" t="s">
        <v>56</v>
      </c>
      <c r="B226" s="10" t="s">
        <v>121</v>
      </c>
      <c r="C226" s="10" t="s">
        <v>3</v>
      </c>
      <c r="D226" s="10" t="s">
        <v>83</v>
      </c>
      <c r="E226" s="10" t="s">
        <v>5</v>
      </c>
      <c r="F226" s="10" t="s">
        <v>43</v>
      </c>
      <c r="G226" s="12">
        <v>5</v>
      </c>
      <c r="H226" s="12">
        <v>5</v>
      </c>
      <c r="I226" s="12">
        <v>5</v>
      </c>
      <c r="J226" s="11">
        <v>5</v>
      </c>
      <c r="K226" s="10" t="s">
        <v>157</v>
      </c>
      <c r="L226" s="11">
        <v>2000</v>
      </c>
      <c r="M226" s="10" t="s">
        <v>158</v>
      </c>
      <c r="N226" s="11">
        <v>450</v>
      </c>
      <c r="O226" s="10" t="s">
        <v>159</v>
      </c>
    </row>
    <row r="227" spans="1:15" ht="32.1" customHeight="1" x14ac:dyDescent="0.25">
      <c r="A227" s="10" t="s">
        <v>56</v>
      </c>
      <c r="B227" s="10" t="s">
        <v>121</v>
      </c>
      <c r="C227" s="10" t="s">
        <v>3</v>
      </c>
      <c r="D227" s="10" t="s">
        <v>83</v>
      </c>
      <c r="E227" s="10" t="s">
        <v>5</v>
      </c>
      <c r="F227" s="10" t="s">
        <v>46</v>
      </c>
      <c r="G227" s="12">
        <v>1.3333333333333339</v>
      </c>
      <c r="H227" s="12">
        <v>0.66666666666666674</v>
      </c>
      <c r="I227" s="12">
        <v>2</v>
      </c>
      <c r="J227" s="11">
        <v>5</v>
      </c>
      <c r="K227" s="10" t="s">
        <v>157</v>
      </c>
      <c r="L227" s="11">
        <v>2000</v>
      </c>
      <c r="M227" s="10" t="s">
        <v>158</v>
      </c>
      <c r="N227" s="11">
        <v>450</v>
      </c>
      <c r="O227" s="10" t="s">
        <v>159</v>
      </c>
    </row>
    <row r="228" spans="1:15" ht="32.1" customHeight="1" x14ac:dyDescent="0.25">
      <c r="A228" s="10" t="s">
        <v>56</v>
      </c>
      <c r="B228" s="10" t="s">
        <v>121</v>
      </c>
      <c r="C228" s="10" t="s">
        <v>3</v>
      </c>
      <c r="D228" s="10" t="s">
        <v>83</v>
      </c>
      <c r="E228" s="10" t="s">
        <v>63</v>
      </c>
      <c r="F228" s="10" t="s">
        <v>34</v>
      </c>
      <c r="G228" s="12">
        <v>35.955464958951282</v>
      </c>
      <c r="H228" s="12">
        <v>33.865435401544723</v>
      </c>
      <c r="I228" s="12">
        <v>37.560375287542698</v>
      </c>
      <c r="J228" s="11">
        <v>5</v>
      </c>
      <c r="K228" s="10" t="s">
        <v>157</v>
      </c>
      <c r="L228" s="11">
        <v>2000</v>
      </c>
      <c r="M228" s="10" t="s">
        <v>158</v>
      </c>
      <c r="N228" s="11">
        <v>320</v>
      </c>
      <c r="O228" s="10" t="s">
        <v>159</v>
      </c>
    </row>
    <row r="229" spans="1:15" ht="32.1" customHeight="1" x14ac:dyDescent="0.25">
      <c r="A229" s="10" t="s">
        <v>56</v>
      </c>
      <c r="B229" s="10" t="s">
        <v>121</v>
      </c>
      <c r="C229" s="10" t="s">
        <v>3</v>
      </c>
      <c r="D229" s="10" t="s">
        <v>83</v>
      </c>
      <c r="E229" s="10" t="s">
        <v>63</v>
      </c>
      <c r="F229" s="10" t="s">
        <v>35</v>
      </c>
      <c r="G229" s="12">
        <v>67.525371188487412</v>
      </c>
      <c r="H229" s="12">
        <v>62.043231786549903</v>
      </c>
      <c r="I229" s="12">
        <v>74.01136463645372</v>
      </c>
      <c r="J229" s="11">
        <v>5</v>
      </c>
      <c r="K229" s="10" t="s">
        <v>157</v>
      </c>
      <c r="L229" s="11">
        <v>2000</v>
      </c>
      <c r="M229" s="10" t="s">
        <v>158</v>
      </c>
      <c r="N229" s="11">
        <v>320</v>
      </c>
      <c r="O229" s="10" t="s">
        <v>159</v>
      </c>
    </row>
    <row r="230" spans="1:15" ht="32.1" customHeight="1" x14ac:dyDescent="0.25">
      <c r="A230" s="10" t="s">
        <v>56</v>
      </c>
      <c r="B230" s="10" t="s">
        <v>121</v>
      </c>
      <c r="C230" s="10" t="s">
        <v>3</v>
      </c>
      <c r="D230" s="10" t="s">
        <v>83</v>
      </c>
      <c r="E230" s="10" t="s">
        <v>63</v>
      </c>
      <c r="F230" s="10" t="s">
        <v>36</v>
      </c>
      <c r="G230" s="12">
        <v>87.582080936739985</v>
      </c>
      <c r="H230" s="12">
        <v>78.788620078936674</v>
      </c>
      <c r="I230" s="12">
        <v>97.396125084129395</v>
      </c>
      <c r="J230" s="11">
        <v>5</v>
      </c>
      <c r="K230" s="10" t="s">
        <v>157</v>
      </c>
      <c r="L230" s="11">
        <v>2000</v>
      </c>
      <c r="M230" s="10" t="s">
        <v>158</v>
      </c>
      <c r="N230" s="11">
        <v>320</v>
      </c>
      <c r="O230" s="10" t="s">
        <v>159</v>
      </c>
    </row>
    <row r="231" spans="1:15" ht="32.1" customHeight="1" x14ac:dyDescent="0.25">
      <c r="A231" s="10" t="s">
        <v>56</v>
      </c>
      <c r="B231" s="10" t="s">
        <v>121</v>
      </c>
      <c r="C231" s="10" t="s">
        <v>3</v>
      </c>
      <c r="D231" s="10" t="s">
        <v>83</v>
      </c>
      <c r="E231" s="10" t="s">
        <v>63</v>
      </c>
      <c r="F231" s="10" t="s">
        <v>33</v>
      </c>
      <c r="G231" s="12">
        <v>38.619919655759688</v>
      </c>
      <c r="H231" s="12">
        <v>37.006954839869131</v>
      </c>
      <c r="I231" s="12">
        <v>40.290942705176278</v>
      </c>
      <c r="J231" s="11">
        <v>5</v>
      </c>
      <c r="K231" s="10" t="s">
        <v>157</v>
      </c>
      <c r="L231" s="11">
        <v>2000</v>
      </c>
      <c r="M231" s="10" t="s">
        <v>158</v>
      </c>
      <c r="N231" s="11">
        <v>320</v>
      </c>
      <c r="O231" s="10" t="s">
        <v>159</v>
      </c>
    </row>
    <row r="232" spans="1:15" ht="32.1" customHeight="1" x14ac:dyDescent="0.25">
      <c r="A232" s="10" t="s">
        <v>56</v>
      </c>
      <c r="B232" s="10" t="s">
        <v>121</v>
      </c>
      <c r="C232" s="10" t="s">
        <v>3</v>
      </c>
      <c r="D232" s="10" t="s">
        <v>83</v>
      </c>
      <c r="E232" s="10" t="s">
        <v>63</v>
      </c>
      <c r="F232" s="10" t="s">
        <v>43</v>
      </c>
      <c r="G232" s="12">
        <v>3.5555555555555549</v>
      </c>
      <c r="H232" s="12">
        <v>3.411111111111111</v>
      </c>
      <c r="I232" s="12">
        <v>3.7</v>
      </c>
      <c r="J232" s="11">
        <v>5</v>
      </c>
      <c r="K232" s="10" t="s">
        <v>157</v>
      </c>
      <c r="L232" s="11">
        <v>2000</v>
      </c>
      <c r="M232" s="10" t="s">
        <v>158</v>
      </c>
      <c r="N232" s="11">
        <v>320</v>
      </c>
      <c r="O232" s="10" t="s">
        <v>159</v>
      </c>
    </row>
    <row r="233" spans="1:15" ht="32.1" customHeight="1" x14ac:dyDescent="0.25">
      <c r="A233" s="10" t="s">
        <v>56</v>
      </c>
      <c r="B233" s="10" t="s">
        <v>121</v>
      </c>
      <c r="C233" s="10" t="s">
        <v>3</v>
      </c>
      <c r="D233" s="10" t="s">
        <v>83</v>
      </c>
      <c r="E233" s="10" t="s">
        <v>63</v>
      </c>
      <c r="F233" s="10" t="s">
        <v>46</v>
      </c>
      <c r="G233" s="12">
        <v>1.595270808630241</v>
      </c>
      <c r="H233" s="12">
        <v>0.63184079601990051</v>
      </c>
      <c r="I233" s="12">
        <v>2.5990539107739989</v>
      </c>
      <c r="J233" s="11">
        <v>5</v>
      </c>
      <c r="K233" s="10" t="s">
        <v>157</v>
      </c>
      <c r="L233" s="11">
        <v>2000</v>
      </c>
      <c r="M233" s="10" t="s">
        <v>158</v>
      </c>
      <c r="N233" s="11">
        <v>320</v>
      </c>
      <c r="O233" s="10" t="s">
        <v>159</v>
      </c>
    </row>
    <row r="234" spans="1:15" ht="32.1" customHeight="1" x14ac:dyDescent="0.25">
      <c r="A234" s="10" t="s">
        <v>56</v>
      </c>
      <c r="B234" s="10" t="s">
        <v>121</v>
      </c>
      <c r="C234" s="10" t="s">
        <v>3</v>
      </c>
      <c r="D234" s="10" t="s">
        <v>4</v>
      </c>
      <c r="E234" s="10" t="s">
        <v>5</v>
      </c>
      <c r="F234" s="10" t="s">
        <v>34</v>
      </c>
      <c r="G234" s="12">
        <v>39.380918481826157</v>
      </c>
      <c r="H234" s="12">
        <v>35.704242460641403</v>
      </c>
      <c r="I234" s="12">
        <v>44.471717375846552</v>
      </c>
      <c r="J234" s="11">
        <v>5</v>
      </c>
      <c r="K234" s="10" t="s">
        <v>157</v>
      </c>
      <c r="L234" s="11">
        <v>2000</v>
      </c>
      <c r="M234" s="10" t="s">
        <v>158</v>
      </c>
      <c r="N234" s="11">
        <v>1800</v>
      </c>
      <c r="O234" s="10" t="s">
        <v>159</v>
      </c>
    </row>
    <row r="235" spans="1:15" ht="32.1" customHeight="1" x14ac:dyDescent="0.25">
      <c r="A235" s="10" t="s">
        <v>56</v>
      </c>
      <c r="B235" s="10" t="s">
        <v>121</v>
      </c>
      <c r="C235" s="10" t="s">
        <v>3</v>
      </c>
      <c r="D235" s="10" t="s">
        <v>4</v>
      </c>
      <c r="E235" s="10" t="s">
        <v>5</v>
      </c>
      <c r="F235" s="10" t="s">
        <v>35</v>
      </c>
      <c r="G235" s="12">
        <v>112.6246764494382</v>
      </c>
      <c r="H235" s="12">
        <v>101.1207543886908</v>
      </c>
      <c r="I235" s="12">
        <v>123.5460276881804</v>
      </c>
      <c r="J235" s="11">
        <v>5</v>
      </c>
      <c r="K235" s="10" t="s">
        <v>157</v>
      </c>
      <c r="L235" s="11">
        <v>2000</v>
      </c>
      <c r="M235" s="10" t="s">
        <v>158</v>
      </c>
      <c r="N235" s="11">
        <v>1800</v>
      </c>
      <c r="O235" s="10" t="s">
        <v>159</v>
      </c>
    </row>
    <row r="236" spans="1:15" ht="32.1" customHeight="1" x14ac:dyDescent="0.25">
      <c r="A236" s="10" t="s">
        <v>56</v>
      </c>
      <c r="B236" s="10" t="s">
        <v>121</v>
      </c>
      <c r="C236" s="10" t="s">
        <v>3</v>
      </c>
      <c r="D236" s="10" t="s">
        <v>4</v>
      </c>
      <c r="E236" s="10" t="s">
        <v>5</v>
      </c>
      <c r="F236" s="10" t="s">
        <v>36</v>
      </c>
      <c r="G236" s="12">
        <v>223.80002836744981</v>
      </c>
      <c r="H236" s="12">
        <v>180.44832137424481</v>
      </c>
      <c r="I236" s="12">
        <v>277.04342854679641</v>
      </c>
      <c r="J236" s="11">
        <v>5</v>
      </c>
      <c r="K236" s="10" t="s">
        <v>157</v>
      </c>
      <c r="L236" s="11">
        <v>2000</v>
      </c>
      <c r="M236" s="10" t="s">
        <v>158</v>
      </c>
      <c r="N236" s="11">
        <v>1800</v>
      </c>
      <c r="O236" s="10" t="s">
        <v>159</v>
      </c>
    </row>
    <row r="237" spans="1:15" ht="32.1" customHeight="1" x14ac:dyDescent="0.25">
      <c r="A237" s="10" t="s">
        <v>56</v>
      </c>
      <c r="B237" s="10" t="s">
        <v>121</v>
      </c>
      <c r="C237" s="10" t="s">
        <v>3</v>
      </c>
      <c r="D237" s="10" t="s">
        <v>4</v>
      </c>
      <c r="E237" s="10" t="s">
        <v>5</v>
      </c>
      <c r="F237" s="10" t="s">
        <v>33</v>
      </c>
      <c r="G237" s="12">
        <v>50.688505366813743</v>
      </c>
      <c r="H237" s="12">
        <v>45.663196293376281</v>
      </c>
      <c r="I237" s="12">
        <v>57.199343797049153</v>
      </c>
      <c r="J237" s="11">
        <v>5</v>
      </c>
      <c r="K237" s="10" t="s">
        <v>157</v>
      </c>
      <c r="L237" s="11">
        <v>2000</v>
      </c>
      <c r="M237" s="10" t="s">
        <v>158</v>
      </c>
      <c r="N237" s="11">
        <v>1800</v>
      </c>
      <c r="O237" s="10" t="s">
        <v>159</v>
      </c>
    </row>
    <row r="238" spans="1:15" ht="32.1" customHeight="1" x14ac:dyDescent="0.25">
      <c r="A238" s="10" t="s">
        <v>56</v>
      </c>
      <c r="B238" s="10" t="s">
        <v>121</v>
      </c>
      <c r="C238" s="10" t="s">
        <v>3</v>
      </c>
      <c r="D238" s="10" t="s">
        <v>4</v>
      </c>
      <c r="E238" s="10" t="s">
        <v>5</v>
      </c>
      <c r="F238" s="10" t="s">
        <v>43</v>
      </c>
      <c r="G238" s="12">
        <v>19.988888888888891</v>
      </c>
      <c r="H238" s="12">
        <v>19.966666666666669</v>
      </c>
      <c r="I238" s="12">
        <v>20</v>
      </c>
      <c r="J238" s="11">
        <v>5</v>
      </c>
      <c r="K238" s="10" t="s">
        <v>157</v>
      </c>
      <c r="L238" s="11">
        <v>2000</v>
      </c>
      <c r="M238" s="10" t="s">
        <v>158</v>
      </c>
      <c r="N238" s="11">
        <v>1800</v>
      </c>
      <c r="O238" s="10" t="s">
        <v>159</v>
      </c>
    </row>
    <row r="239" spans="1:15" ht="32.1" customHeight="1" x14ac:dyDescent="0.25">
      <c r="A239" s="10" t="s">
        <v>56</v>
      </c>
      <c r="B239" s="10" t="s">
        <v>121</v>
      </c>
      <c r="C239" s="10" t="s">
        <v>3</v>
      </c>
      <c r="D239" s="10" t="s">
        <v>4</v>
      </c>
      <c r="E239" s="10" t="s">
        <v>5</v>
      </c>
      <c r="F239" s="10" t="s">
        <v>46</v>
      </c>
      <c r="G239" s="12">
        <v>1.444444444444444</v>
      </c>
      <c r="H239" s="12">
        <v>0.77777777777777768</v>
      </c>
      <c r="I239" s="12">
        <v>2.0555555555555558</v>
      </c>
      <c r="J239" s="11">
        <v>5</v>
      </c>
      <c r="K239" s="10" t="s">
        <v>157</v>
      </c>
      <c r="L239" s="11">
        <v>2000</v>
      </c>
      <c r="M239" s="10" t="s">
        <v>158</v>
      </c>
      <c r="N239" s="11">
        <v>1800</v>
      </c>
      <c r="O239" s="10" t="s">
        <v>159</v>
      </c>
    </row>
    <row r="240" spans="1:15" ht="32.1" customHeight="1" x14ac:dyDescent="0.25">
      <c r="A240" s="10" t="s">
        <v>56</v>
      </c>
      <c r="B240" s="10" t="s">
        <v>121</v>
      </c>
      <c r="C240" s="10" t="s">
        <v>3</v>
      </c>
      <c r="D240" s="10" t="s">
        <v>4</v>
      </c>
      <c r="E240" s="10" t="s">
        <v>62</v>
      </c>
      <c r="F240" s="10" t="s">
        <v>34</v>
      </c>
      <c r="G240" s="12">
        <v>97.201748858009935</v>
      </c>
      <c r="H240" s="12">
        <v>86.036100135968354</v>
      </c>
      <c r="I240" s="12">
        <v>108.3673975800515</v>
      </c>
      <c r="J240" s="11">
        <v>5</v>
      </c>
      <c r="K240" s="10" t="s">
        <v>157</v>
      </c>
      <c r="L240" s="11">
        <v>2000</v>
      </c>
      <c r="M240" s="10" t="s">
        <v>158</v>
      </c>
      <c r="N240" s="11">
        <v>208</v>
      </c>
      <c r="O240" s="10" t="s">
        <v>159</v>
      </c>
    </row>
    <row r="241" spans="1:15" ht="32.1" customHeight="1" x14ac:dyDescent="0.25">
      <c r="A241" s="10" t="s">
        <v>56</v>
      </c>
      <c r="B241" s="10" t="s">
        <v>121</v>
      </c>
      <c r="C241" s="10" t="s">
        <v>3</v>
      </c>
      <c r="D241" s="10" t="s">
        <v>4</v>
      </c>
      <c r="E241" s="10" t="s">
        <v>62</v>
      </c>
      <c r="F241" s="10" t="s">
        <v>35</v>
      </c>
      <c r="G241" s="12">
        <v>227.12428167881751</v>
      </c>
      <c r="H241" s="12">
        <v>183.19129105264381</v>
      </c>
      <c r="I241" s="12">
        <v>271.05727230499099</v>
      </c>
      <c r="J241" s="11">
        <v>5</v>
      </c>
      <c r="K241" s="10" t="s">
        <v>157</v>
      </c>
      <c r="L241" s="11">
        <v>2000</v>
      </c>
      <c r="M241" s="10" t="s">
        <v>158</v>
      </c>
      <c r="N241" s="11">
        <v>208</v>
      </c>
      <c r="O241" s="10" t="s">
        <v>159</v>
      </c>
    </row>
    <row r="242" spans="1:15" ht="32.1" customHeight="1" x14ac:dyDescent="0.25">
      <c r="A242" s="10" t="s">
        <v>56</v>
      </c>
      <c r="B242" s="10" t="s">
        <v>121</v>
      </c>
      <c r="C242" s="10" t="s">
        <v>3</v>
      </c>
      <c r="D242" s="10" t="s">
        <v>4</v>
      </c>
      <c r="E242" s="10" t="s">
        <v>62</v>
      </c>
      <c r="F242" s="10" t="s">
        <v>36</v>
      </c>
      <c r="G242" s="12">
        <v>378.1267158408512</v>
      </c>
      <c r="H242" s="12">
        <v>218.2738429188704</v>
      </c>
      <c r="I242" s="12">
        <v>625.28043554895123</v>
      </c>
      <c r="J242" s="11">
        <v>5</v>
      </c>
      <c r="K242" s="10" t="s">
        <v>157</v>
      </c>
      <c r="L242" s="11">
        <v>2000</v>
      </c>
      <c r="M242" s="10" t="s">
        <v>158</v>
      </c>
      <c r="N242" s="11">
        <v>208</v>
      </c>
      <c r="O242" s="10" t="s">
        <v>159</v>
      </c>
    </row>
    <row r="243" spans="1:15" ht="32.1" customHeight="1" x14ac:dyDescent="0.25">
      <c r="A243" s="10" t="s">
        <v>56</v>
      </c>
      <c r="B243" s="10" t="s">
        <v>121</v>
      </c>
      <c r="C243" s="10" t="s">
        <v>3</v>
      </c>
      <c r="D243" s="10" t="s">
        <v>4</v>
      </c>
      <c r="E243" s="10" t="s">
        <v>62</v>
      </c>
      <c r="F243" s="10" t="s">
        <v>33</v>
      </c>
      <c r="G243" s="12">
        <v>115.76716387332949</v>
      </c>
      <c r="H243" s="12">
        <v>100.2521029211639</v>
      </c>
      <c r="I243" s="12">
        <v>131.22180650176409</v>
      </c>
      <c r="J243" s="11">
        <v>5</v>
      </c>
      <c r="K243" s="10" t="s">
        <v>157</v>
      </c>
      <c r="L243" s="11">
        <v>2000</v>
      </c>
      <c r="M243" s="10" t="s">
        <v>158</v>
      </c>
      <c r="N243" s="11">
        <v>208</v>
      </c>
      <c r="O243" s="10" t="s">
        <v>159</v>
      </c>
    </row>
    <row r="244" spans="1:15" ht="32.1" customHeight="1" x14ac:dyDescent="0.25">
      <c r="A244" s="10" t="s">
        <v>56</v>
      </c>
      <c r="B244" s="10" t="s">
        <v>121</v>
      </c>
      <c r="C244" s="10" t="s">
        <v>3</v>
      </c>
      <c r="D244" s="10" t="s">
        <v>4</v>
      </c>
      <c r="E244" s="10" t="s">
        <v>62</v>
      </c>
      <c r="F244" s="10" t="s">
        <v>43</v>
      </c>
      <c r="G244" s="12">
        <v>2.2999999999999998</v>
      </c>
      <c r="H244" s="12">
        <v>2.0886111111111112</v>
      </c>
      <c r="I244" s="12">
        <v>2.4444444444444451</v>
      </c>
      <c r="J244" s="11">
        <v>5</v>
      </c>
      <c r="K244" s="10" t="s">
        <v>157</v>
      </c>
      <c r="L244" s="11">
        <v>2000</v>
      </c>
      <c r="M244" s="10" t="s">
        <v>158</v>
      </c>
      <c r="N244" s="11">
        <v>208</v>
      </c>
      <c r="O244" s="10" t="s">
        <v>159</v>
      </c>
    </row>
    <row r="245" spans="1:15" ht="32.1" customHeight="1" x14ac:dyDescent="0.25">
      <c r="A245" s="10" t="s">
        <v>56</v>
      </c>
      <c r="B245" s="10" t="s">
        <v>121</v>
      </c>
      <c r="C245" s="10" t="s">
        <v>3</v>
      </c>
      <c r="D245" s="10" t="s">
        <v>4</v>
      </c>
      <c r="E245" s="10" t="s">
        <v>62</v>
      </c>
      <c r="F245" s="10" t="s">
        <v>46</v>
      </c>
      <c r="G245" s="12">
        <v>1.641586867305062</v>
      </c>
      <c r="H245" s="12">
        <v>0</v>
      </c>
      <c r="I245" s="12">
        <v>3.9945280437756501</v>
      </c>
      <c r="J245" s="11">
        <v>5</v>
      </c>
      <c r="K245" s="10" t="s">
        <v>157</v>
      </c>
      <c r="L245" s="11">
        <v>2000</v>
      </c>
      <c r="M245" s="10" t="s">
        <v>158</v>
      </c>
      <c r="N245" s="11">
        <v>208</v>
      </c>
      <c r="O245" s="10" t="s">
        <v>159</v>
      </c>
    </row>
    <row r="246" spans="1:15" ht="32.1" customHeight="1" x14ac:dyDescent="0.25">
      <c r="A246" s="10" t="s">
        <v>56</v>
      </c>
      <c r="B246" s="10" t="s">
        <v>121</v>
      </c>
      <c r="C246" s="10" t="s">
        <v>3</v>
      </c>
      <c r="D246" s="10" t="s">
        <v>4</v>
      </c>
      <c r="E246" s="10" t="s">
        <v>63</v>
      </c>
      <c r="F246" s="10" t="s">
        <v>34</v>
      </c>
      <c r="G246" s="12">
        <v>33.580635312764073</v>
      </c>
      <c r="H246" s="12">
        <v>29.276038480883621</v>
      </c>
      <c r="I246" s="12">
        <v>38.5459621369193</v>
      </c>
      <c r="J246" s="11">
        <v>5</v>
      </c>
      <c r="K246" s="10" t="s">
        <v>157</v>
      </c>
      <c r="L246" s="11">
        <v>2000</v>
      </c>
      <c r="M246" s="10" t="s">
        <v>158</v>
      </c>
      <c r="N246" s="11">
        <v>1234</v>
      </c>
      <c r="O246" s="10" t="s">
        <v>159</v>
      </c>
    </row>
    <row r="247" spans="1:15" ht="32.1" customHeight="1" x14ac:dyDescent="0.25">
      <c r="A247" s="10" t="s">
        <v>56</v>
      </c>
      <c r="B247" s="10" t="s">
        <v>121</v>
      </c>
      <c r="C247" s="10" t="s">
        <v>3</v>
      </c>
      <c r="D247" s="10" t="s">
        <v>4</v>
      </c>
      <c r="E247" s="10" t="s">
        <v>63</v>
      </c>
      <c r="F247" s="10" t="s">
        <v>35</v>
      </c>
      <c r="G247" s="12">
        <v>64.715183655621829</v>
      </c>
      <c r="H247" s="12">
        <v>55.733332927503383</v>
      </c>
      <c r="I247" s="12">
        <v>75.42321927591999</v>
      </c>
      <c r="J247" s="11">
        <v>5</v>
      </c>
      <c r="K247" s="10" t="s">
        <v>157</v>
      </c>
      <c r="L247" s="11">
        <v>2000</v>
      </c>
      <c r="M247" s="10" t="s">
        <v>158</v>
      </c>
      <c r="N247" s="11">
        <v>1234</v>
      </c>
      <c r="O247" s="10" t="s">
        <v>159</v>
      </c>
    </row>
    <row r="248" spans="1:15" ht="32.1" customHeight="1" x14ac:dyDescent="0.25">
      <c r="A248" s="10" t="s">
        <v>56</v>
      </c>
      <c r="B248" s="10" t="s">
        <v>121</v>
      </c>
      <c r="C248" s="10" t="s">
        <v>3</v>
      </c>
      <c r="D248" s="10" t="s">
        <v>4</v>
      </c>
      <c r="E248" s="10" t="s">
        <v>63</v>
      </c>
      <c r="F248" s="10" t="s">
        <v>36</v>
      </c>
      <c r="G248" s="12">
        <v>87.939531588987549</v>
      </c>
      <c r="H248" s="12">
        <v>73.842519234158388</v>
      </c>
      <c r="I248" s="12">
        <v>102.1491884658426</v>
      </c>
      <c r="J248" s="11">
        <v>5</v>
      </c>
      <c r="K248" s="10" t="s">
        <v>157</v>
      </c>
      <c r="L248" s="11">
        <v>2000</v>
      </c>
      <c r="M248" s="10" t="s">
        <v>158</v>
      </c>
      <c r="N248" s="11">
        <v>1234</v>
      </c>
      <c r="O248" s="10" t="s">
        <v>159</v>
      </c>
    </row>
    <row r="249" spans="1:15" ht="32.1" customHeight="1" x14ac:dyDescent="0.25">
      <c r="A249" s="10" t="s">
        <v>56</v>
      </c>
      <c r="B249" s="10" t="s">
        <v>121</v>
      </c>
      <c r="C249" s="10" t="s">
        <v>3</v>
      </c>
      <c r="D249" s="10" t="s">
        <v>4</v>
      </c>
      <c r="E249" s="10" t="s">
        <v>63</v>
      </c>
      <c r="F249" s="10" t="s">
        <v>33</v>
      </c>
      <c r="G249" s="12">
        <v>38.325435113805277</v>
      </c>
      <c r="H249" s="12">
        <v>33.241998733421397</v>
      </c>
      <c r="I249" s="12">
        <v>44.311874883435408</v>
      </c>
      <c r="J249" s="11">
        <v>5</v>
      </c>
      <c r="K249" s="10" t="s">
        <v>157</v>
      </c>
      <c r="L249" s="11">
        <v>2000</v>
      </c>
      <c r="M249" s="10" t="s">
        <v>158</v>
      </c>
      <c r="N249" s="11">
        <v>1234</v>
      </c>
      <c r="O249" s="10" t="s">
        <v>159</v>
      </c>
    </row>
    <row r="250" spans="1:15" ht="32.1" customHeight="1" x14ac:dyDescent="0.25">
      <c r="A250" s="10" t="s">
        <v>56</v>
      </c>
      <c r="B250" s="10" t="s">
        <v>121</v>
      </c>
      <c r="C250" s="10" t="s">
        <v>3</v>
      </c>
      <c r="D250" s="10" t="s">
        <v>4</v>
      </c>
      <c r="E250" s="10" t="s">
        <v>63</v>
      </c>
      <c r="F250" s="10" t="s">
        <v>43</v>
      </c>
      <c r="G250" s="12">
        <v>13.71111111111111</v>
      </c>
      <c r="H250" s="12">
        <v>13.077777777777779</v>
      </c>
      <c r="I250" s="12">
        <v>14.34444444444444</v>
      </c>
      <c r="J250" s="11">
        <v>5</v>
      </c>
      <c r="K250" s="10" t="s">
        <v>157</v>
      </c>
      <c r="L250" s="11">
        <v>2000</v>
      </c>
      <c r="M250" s="10" t="s">
        <v>158</v>
      </c>
      <c r="N250" s="11">
        <v>1234</v>
      </c>
      <c r="O250" s="10" t="s">
        <v>159</v>
      </c>
    </row>
    <row r="251" spans="1:15" ht="32.1" customHeight="1" x14ac:dyDescent="0.25">
      <c r="A251" s="10" t="s">
        <v>56</v>
      </c>
      <c r="B251" s="10" t="s">
        <v>121</v>
      </c>
      <c r="C251" s="10" t="s">
        <v>3</v>
      </c>
      <c r="D251" s="10" t="s">
        <v>4</v>
      </c>
      <c r="E251" s="10" t="s">
        <v>63</v>
      </c>
      <c r="F251" s="10" t="s">
        <v>46</v>
      </c>
      <c r="G251" s="12">
        <v>1.7242247701982041</v>
      </c>
      <c r="H251" s="12">
        <v>0.93269912773149799</v>
      </c>
      <c r="I251" s="12">
        <v>2.4660397074190179</v>
      </c>
      <c r="J251" s="11">
        <v>5</v>
      </c>
      <c r="K251" s="10" t="s">
        <v>157</v>
      </c>
      <c r="L251" s="11">
        <v>2000</v>
      </c>
      <c r="M251" s="10" t="s">
        <v>158</v>
      </c>
      <c r="N251" s="11">
        <v>1234</v>
      </c>
      <c r="O251" s="10" t="s">
        <v>159</v>
      </c>
    </row>
    <row r="252" spans="1:15" ht="32.1" customHeight="1" x14ac:dyDescent="0.25">
      <c r="A252" s="10" t="s">
        <v>56</v>
      </c>
      <c r="B252" s="10" t="s">
        <v>121</v>
      </c>
      <c r="C252" s="10" t="s">
        <v>3</v>
      </c>
      <c r="D252" s="10" t="s">
        <v>4</v>
      </c>
      <c r="E252" s="10" t="s">
        <v>64</v>
      </c>
      <c r="F252" s="10" t="s">
        <v>34</v>
      </c>
      <c r="G252" s="12">
        <v>47.025912962329521</v>
      </c>
      <c r="H252" s="12">
        <v>42.124548839856267</v>
      </c>
      <c r="I252" s="12">
        <v>52.223050986482143</v>
      </c>
      <c r="J252" s="11">
        <v>5</v>
      </c>
      <c r="K252" s="10" t="s">
        <v>157</v>
      </c>
      <c r="L252" s="11">
        <v>2000</v>
      </c>
      <c r="M252" s="10" t="s">
        <v>158</v>
      </c>
      <c r="N252" s="11">
        <v>358</v>
      </c>
      <c r="O252" s="10" t="s">
        <v>159</v>
      </c>
    </row>
    <row r="253" spans="1:15" ht="32.1" customHeight="1" x14ac:dyDescent="0.25">
      <c r="A253" s="10" t="s">
        <v>56</v>
      </c>
      <c r="B253" s="10" t="s">
        <v>121</v>
      </c>
      <c r="C253" s="10" t="s">
        <v>3</v>
      </c>
      <c r="D253" s="10" t="s">
        <v>4</v>
      </c>
      <c r="E253" s="10" t="s">
        <v>64</v>
      </c>
      <c r="F253" s="10" t="s">
        <v>35</v>
      </c>
      <c r="G253" s="12">
        <v>90.391177104680807</v>
      </c>
      <c r="H253" s="12">
        <v>78.268835183716803</v>
      </c>
      <c r="I253" s="12">
        <v>104.6552343635063</v>
      </c>
      <c r="J253" s="11">
        <v>5</v>
      </c>
      <c r="K253" s="10" t="s">
        <v>157</v>
      </c>
      <c r="L253" s="11">
        <v>2000</v>
      </c>
      <c r="M253" s="10" t="s">
        <v>158</v>
      </c>
      <c r="N253" s="11">
        <v>358</v>
      </c>
      <c r="O253" s="10" t="s">
        <v>159</v>
      </c>
    </row>
    <row r="254" spans="1:15" ht="32.1" customHeight="1" x14ac:dyDescent="0.25">
      <c r="A254" s="10" t="s">
        <v>56</v>
      </c>
      <c r="B254" s="10" t="s">
        <v>121</v>
      </c>
      <c r="C254" s="10" t="s">
        <v>3</v>
      </c>
      <c r="D254" s="10" t="s">
        <v>4</v>
      </c>
      <c r="E254" s="10" t="s">
        <v>64</v>
      </c>
      <c r="F254" s="10" t="s">
        <v>36</v>
      </c>
      <c r="G254" s="12">
        <v>187.21588671809869</v>
      </c>
      <c r="H254" s="12">
        <v>125.7920390812012</v>
      </c>
      <c r="I254" s="12">
        <v>248.5403906012983</v>
      </c>
      <c r="J254" s="11">
        <v>5</v>
      </c>
      <c r="K254" s="10" t="s">
        <v>157</v>
      </c>
      <c r="L254" s="11">
        <v>2000</v>
      </c>
      <c r="M254" s="10" t="s">
        <v>158</v>
      </c>
      <c r="N254" s="11">
        <v>358</v>
      </c>
      <c r="O254" s="10" t="s">
        <v>159</v>
      </c>
    </row>
    <row r="255" spans="1:15" ht="32.1" customHeight="1" x14ac:dyDescent="0.25">
      <c r="A255" s="10" t="s">
        <v>56</v>
      </c>
      <c r="B255" s="10" t="s">
        <v>121</v>
      </c>
      <c r="C255" s="10" t="s">
        <v>3</v>
      </c>
      <c r="D255" s="10" t="s">
        <v>4</v>
      </c>
      <c r="E255" s="10" t="s">
        <v>64</v>
      </c>
      <c r="F255" s="10" t="s">
        <v>33</v>
      </c>
      <c r="G255" s="12">
        <v>55.152272502553522</v>
      </c>
      <c r="H255" s="12">
        <v>49.843156315369633</v>
      </c>
      <c r="I255" s="12">
        <v>60.876351250797271</v>
      </c>
      <c r="J255" s="11">
        <v>5</v>
      </c>
      <c r="K255" s="10" t="s">
        <v>157</v>
      </c>
      <c r="L255" s="11">
        <v>2000</v>
      </c>
      <c r="M255" s="10" t="s">
        <v>158</v>
      </c>
      <c r="N255" s="11">
        <v>358</v>
      </c>
      <c r="O255" s="10" t="s">
        <v>159</v>
      </c>
    </row>
    <row r="256" spans="1:15" ht="32.1" customHeight="1" x14ac:dyDescent="0.25">
      <c r="A256" s="10" t="s">
        <v>56</v>
      </c>
      <c r="B256" s="10" t="s">
        <v>121</v>
      </c>
      <c r="C256" s="10" t="s">
        <v>3</v>
      </c>
      <c r="D256" s="10" t="s">
        <v>4</v>
      </c>
      <c r="E256" s="10" t="s">
        <v>64</v>
      </c>
      <c r="F256" s="10" t="s">
        <v>43</v>
      </c>
      <c r="G256" s="12">
        <v>3.9777777777777779</v>
      </c>
      <c r="H256" s="12">
        <v>3.4444444444444442</v>
      </c>
      <c r="I256" s="12">
        <v>4.5111111111111111</v>
      </c>
      <c r="J256" s="11">
        <v>5</v>
      </c>
      <c r="K256" s="10" t="s">
        <v>157</v>
      </c>
      <c r="L256" s="11">
        <v>2000</v>
      </c>
      <c r="M256" s="10" t="s">
        <v>158</v>
      </c>
      <c r="N256" s="11">
        <v>358</v>
      </c>
      <c r="O256" s="10" t="s">
        <v>159</v>
      </c>
    </row>
    <row r="257" spans="1:15" ht="32.1" customHeight="1" x14ac:dyDescent="0.25">
      <c r="A257" s="10" t="s">
        <v>56</v>
      </c>
      <c r="B257" s="10" t="s">
        <v>121</v>
      </c>
      <c r="C257" s="10" t="s">
        <v>3</v>
      </c>
      <c r="D257" s="10" t="s">
        <v>4</v>
      </c>
      <c r="E257" s="10" t="s">
        <v>64</v>
      </c>
      <c r="F257" s="10" t="s">
        <v>46</v>
      </c>
      <c r="G257" s="12">
        <v>0.46785225718194251</v>
      </c>
      <c r="H257" s="12">
        <v>0</v>
      </c>
      <c r="I257" s="12">
        <v>0.93844049247606021</v>
      </c>
      <c r="J257" s="11">
        <v>5</v>
      </c>
      <c r="K257" s="10" t="s">
        <v>157</v>
      </c>
      <c r="L257" s="11">
        <v>2000</v>
      </c>
      <c r="M257" s="10" t="s">
        <v>158</v>
      </c>
      <c r="N257" s="11">
        <v>358</v>
      </c>
      <c r="O257" s="10" t="s">
        <v>159</v>
      </c>
    </row>
  </sheetData>
  <mergeCells count="3">
    <mergeCell ref="A1:O1"/>
    <mergeCell ref="A3:O3"/>
    <mergeCell ref="A2:O2"/>
  </mergeCells>
  <pageMargins left="0.75" right="0.75" top="1" bottom="1" header="0.5" footer="0.5"/>
  <pageSetup paperSize="8" fitToHeight="0" orientation="landscape"/>
  <headerFooter>
    <oddFooter>&amp;CDEMO | &amp;A | &amp;P / &amp;N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417"/>
  <sheetViews>
    <sheetView showGridLines="0"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4" width="26" customWidth="1"/>
    <col min="5" max="5" width="42" customWidth="1"/>
    <col min="6" max="6" width="26" customWidth="1"/>
    <col min="7" max="14" width="21" customWidth="1"/>
    <col min="15" max="15" width="26" customWidth="1"/>
    <col min="16" max="16" width="42" customWidth="1"/>
    <col min="17" max="18" width="21" customWidth="1"/>
  </cols>
  <sheetData>
    <row r="1" spans="1:18" ht="33.950000000000003" customHeight="1" x14ac:dyDescent="0.25">
      <c r="A1" s="25" t="s">
        <v>161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30" customHeight="1" x14ac:dyDescent="0.25">
      <c r="A2" s="21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0" customHeight="1" x14ac:dyDescent="0.25">
      <c r="A3" s="26" t="s">
        <v>162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5" spans="1:18" ht="36" customHeight="1" x14ac:dyDescent="0.25">
      <c r="A5" s="2" t="s">
        <v>22</v>
      </c>
      <c r="B5" s="2" t="s">
        <v>24</v>
      </c>
      <c r="C5" s="2" t="s">
        <v>25</v>
      </c>
      <c r="D5" s="2" t="s">
        <v>27</v>
      </c>
      <c r="E5" s="2" t="s">
        <v>23</v>
      </c>
      <c r="F5" s="2" t="s">
        <v>163</v>
      </c>
      <c r="G5" s="2" t="s">
        <v>29</v>
      </c>
      <c r="H5" s="2" t="s">
        <v>33</v>
      </c>
      <c r="I5" s="2" t="s">
        <v>34</v>
      </c>
      <c r="J5" s="2" t="s">
        <v>35</v>
      </c>
      <c r="K5" s="2" t="s">
        <v>36</v>
      </c>
      <c r="L5" s="2" t="s">
        <v>37</v>
      </c>
      <c r="M5" s="2" t="s">
        <v>38</v>
      </c>
      <c r="N5" s="2" t="s">
        <v>39</v>
      </c>
      <c r="O5" s="2" t="s">
        <v>40</v>
      </c>
      <c r="P5" s="2" t="s">
        <v>164</v>
      </c>
      <c r="Q5" s="2" t="s">
        <v>165</v>
      </c>
      <c r="R5" s="2" t="s">
        <v>166</v>
      </c>
    </row>
    <row r="6" spans="1:18" ht="32.1" customHeight="1" x14ac:dyDescent="0.25">
      <c r="A6" s="10" t="s">
        <v>56</v>
      </c>
      <c r="B6" s="10" t="s">
        <v>58</v>
      </c>
      <c r="C6" s="10" t="s">
        <v>59</v>
      </c>
      <c r="D6" s="10" t="s">
        <v>62</v>
      </c>
      <c r="E6" s="10" t="s">
        <v>57</v>
      </c>
      <c r="F6" s="10" t="s">
        <v>167</v>
      </c>
      <c r="G6" s="11">
        <v>80</v>
      </c>
      <c r="H6" s="12">
        <v>179.20325414346061</v>
      </c>
      <c r="I6" s="12">
        <v>157.18940964041599</v>
      </c>
      <c r="J6" s="12">
        <v>263.03475151122132</v>
      </c>
      <c r="K6" s="12"/>
      <c r="L6" s="12">
        <v>51.196235961515811</v>
      </c>
      <c r="M6" s="12">
        <v>1488.7454118976129</v>
      </c>
      <c r="N6" s="12">
        <v>160.34404114222451</v>
      </c>
      <c r="O6" s="12">
        <v>0.89476076708886998</v>
      </c>
      <c r="P6" s="10" t="s">
        <v>168</v>
      </c>
      <c r="Q6" s="12">
        <v>129.50893256345461</v>
      </c>
      <c r="R6" s="12">
        <v>181.20325414346061</v>
      </c>
    </row>
    <row r="7" spans="1:18" ht="32.1" customHeight="1" x14ac:dyDescent="0.25">
      <c r="A7" s="10" t="s">
        <v>56</v>
      </c>
      <c r="B7" s="10" t="s">
        <v>58</v>
      </c>
      <c r="C7" s="10" t="s">
        <v>59</v>
      </c>
      <c r="D7" s="10" t="s">
        <v>62</v>
      </c>
      <c r="E7" s="10" t="s">
        <v>57</v>
      </c>
      <c r="F7" s="10" t="s">
        <v>169</v>
      </c>
      <c r="G7" s="11">
        <v>3</v>
      </c>
      <c r="H7" s="12">
        <v>213.8599815133316</v>
      </c>
      <c r="I7" s="12">
        <v>250.66636438963889</v>
      </c>
      <c r="J7" s="12"/>
      <c r="K7" s="12"/>
      <c r="L7" s="12">
        <v>130.98002774393561</v>
      </c>
      <c r="M7" s="12">
        <v>259.93355240642018</v>
      </c>
      <c r="N7" s="12">
        <v>71.925553498374271</v>
      </c>
      <c r="O7" s="12">
        <v>0.3363207692687965</v>
      </c>
      <c r="P7" s="10" t="s">
        <v>168</v>
      </c>
      <c r="Q7" s="12">
        <v>153.97918668959869</v>
      </c>
      <c r="R7" s="12">
        <v>215.8599815133316</v>
      </c>
    </row>
    <row r="8" spans="1:18" ht="32.1" customHeight="1" x14ac:dyDescent="0.25">
      <c r="A8" s="10" t="s">
        <v>56</v>
      </c>
      <c r="B8" s="10" t="s">
        <v>58</v>
      </c>
      <c r="C8" s="10" t="s">
        <v>59</v>
      </c>
      <c r="D8" s="10" t="s">
        <v>62</v>
      </c>
      <c r="E8" s="10" t="s">
        <v>65</v>
      </c>
      <c r="F8" s="10" t="s">
        <v>167</v>
      </c>
      <c r="G8" s="11">
        <v>76</v>
      </c>
      <c r="H8" s="12">
        <v>147.56879308821951</v>
      </c>
      <c r="I8" s="12">
        <v>127.01131482206191</v>
      </c>
      <c r="J8" s="12">
        <v>275.71106449448178</v>
      </c>
      <c r="K8" s="12"/>
      <c r="L8" s="12">
        <v>56.410147757085817</v>
      </c>
      <c r="M8" s="12">
        <v>505.28224492152299</v>
      </c>
      <c r="N8" s="12">
        <v>75.459176776331816</v>
      </c>
      <c r="O8" s="12">
        <v>0.51134914907937801</v>
      </c>
      <c r="P8" s="10" t="s">
        <v>168</v>
      </c>
      <c r="Q8" s="12">
        <v>107.5834106123511</v>
      </c>
      <c r="R8" s="12">
        <v>149.56879308821951</v>
      </c>
    </row>
    <row r="9" spans="1:18" ht="32.1" customHeight="1" x14ac:dyDescent="0.25">
      <c r="A9" s="10" t="s">
        <v>56</v>
      </c>
      <c r="B9" s="10" t="s">
        <v>58</v>
      </c>
      <c r="C9" s="10" t="s">
        <v>59</v>
      </c>
      <c r="D9" s="10" t="s">
        <v>62</v>
      </c>
      <c r="E9" s="10" t="s">
        <v>65</v>
      </c>
      <c r="F9" s="10" t="s">
        <v>169</v>
      </c>
      <c r="G9" s="11">
        <v>8</v>
      </c>
      <c r="H9" s="12">
        <v>137.08785946409949</v>
      </c>
      <c r="I9" s="12">
        <v>120.5514407459311</v>
      </c>
      <c r="J9" s="12"/>
      <c r="K9" s="12"/>
      <c r="L9" s="12">
        <v>68.178764504152824</v>
      </c>
      <c r="M9" s="12">
        <v>283.95139443715749</v>
      </c>
      <c r="N9" s="12">
        <v>69.074251375364341</v>
      </c>
      <c r="O9" s="12">
        <v>0.503868480005361</v>
      </c>
      <c r="P9" s="10" t="s">
        <v>168</v>
      </c>
      <c r="Q9" s="12">
        <v>101.7687064601927</v>
      </c>
      <c r="R9" s="12">
        <v>139.08785946409949</v>
      </c>
    </row>
    <row r="10" spans="1:18" ht="32.1" customHeight="1" x14ac:dyDescent="0.25">
      <c r="A10" s="10" t="s">
        <v>56</v>
      </c>
      <c r="B10" s="10" t="s">
        <v>58</v>
      </c>
      <c r="C10" s="10" t="s">
        <v>59</v>
      </c>
      <c r="D10" s="10" t="s">
        <v>62</v>
      </c>
      <c r="E10" s="10" t="s">
        <v>66</v>
      </c>
      <c r="F10" s="10" t="s">
        <v>167</v>
      </c>
      <c r="G10" s="11">
        <v>84</v>
      </c>
      <c r="H10" s="12">
        <v>161.34814495470749</v>
      </c>
      <c r="I10" s="12">
        <v>153.2186065800424</v>
      </c>
      <c r="J10" s="12">
        <v>281.01646483400668</v>
      </c>
      <c r="K10" s="12"/>
      <c r="L10" s="12">
        <v>61.672688676830148</v>
      </c>
      <c r="M10" s="12">
        <v>356.13958406480998</v>
      </c>
      <c r="N10" s="12">
        <v>61.727325352279912</v>
      </c>
      <c r="O10" s="12">
        <v>0.38257226551695128</v>
      </c>
      <c r="P10" s="10" t="s">
        <v>168</v>
      </c>
      <c r="Q10" s="12">
        <v>116.7734459266472</v>
      </c>
      <c r="R10" s="12">
        <v>163.34814495470749</v>
      </c>
    </row>
    <row r="11" spans="1:18" ht="32.1" customHeight="1" x14ac:dyDescent="0.25">
      <c r="A11" s="10" t="s">
        <v>56</v>
      </c>
      <c r="B11" s="10" t="s">
        <v>58</v>
      </c>
      <c r="C11" s="10" t="s">
        <v>59</v>
      </c>
      <c r="D11" s="10" t="s">
        <v>62</v>
      </c>
      <c r="E11" s="10" t="s">
        <v>66</v>
      </c>
      <c r="F11" s="10" t="s">
        <v>169</v>
      </c>
      <c r="G11" s="11">
        <v>6</v>
      </c>
      <c r="H11" s="12">
        <v>101.3030732396674</v>
      </c>
      <c r="I11" s="12">
        <v>98.612915452210274</v>
      </c>
      <c r="J11" s="12"/>
      <c r="K11" s="12"/>
      <c r="L11" s="12">
        <v>75.682048322266652</v>
      </c>
      <c r="M11" s="12">
        <v>130.10218565250111</v>
      </c>
      <c r="N11" s="12">
        <v>20.978714188199</v>
      </c>
      <c r="O11" s="12">
        <v>0.20708862542172429</v>
      </c>
      <c r="P11" s="10" t="s">
        <v>168</v>
      </c>
      <c r="Q11" s="12">
        <v>72.938212732560558</v>
      </c>
      <c r="R11" s="12">
        <v>103.3030732396675</v>
      </c>
    </row>
    <row r="12" spans="1:18" ht="32.1" customHeight="1" x14ac:dyDescent="0.25">
      <c r="A12" s="10" t="s">
        <v>56</v>
      </c>
      <c r="B12" s="10" t="s">
        <v>58</v>
      </c>
      <c r="C12" s="10" t="s">
        <v>59</v>
      </c>
      <c r="D12" s="10" t="s">
        <v>62</v>
      </c>
      <c r="E12" s="10" t="s">
        <v>67</v>
      </c>
      <c r="F12" s="10" t="s">
        <v>167</v>
      </c>
      <c r="G12" s="11">
        <v>93</v>
      </c>
      <c r="H12" s="12">
        <v>158.89583608823531</v>
      </c>
      <c r="I12" s="12">
        <v>133.77663876991201</v>
      </c>
      <c r="J12" s="12">
        <v>264.03800627791418</v>
      </c>
      <c r="K12" s="12"/>
      <c r="L12" s="12">
        <v>49.701553706602887</v>
      </c>
      <c r="M12" s="12">
        <v>1702.559988511872</v>
      </c>
      <c r="N12" s="12">
        <v>173.77480572721981</v>
      </c>
      <c r="O12" s="12">
        <v>1.093639770589848</v>
      </c>
      <c r="P12" s="10" t="s">
        <v>168</v>
      </c>
      <c r="Q12" s="12">
        <v>114.516121872963</v>
      </c>
      <c r="R12" s="12">
        <v>160.89583608823531</v>
      </c>
    </row>
    <row r="13" spans="1:18" ht="32.1" customHeight="1" x14ac:dyDescent="0.25">
      <c r="A13" s="10" t="s">
        <v>56</v>
      </c>
      <c r="B13" s="10" t="s">
        <v>58</v>
      </c>
      <c r="C13" s="10" t="s">
        <v>59</v>
      </c>
      <c r="D13" s="10" t="s">
        <v>62</v>
      </c>
      <c r="E13" s="10" t="s">
        <v>67</v>
      </c>
      <c r="F13" s="10" t="s">
        <v>169</v>
      </c>
      <c r="G13" s="11">
        <v>3</v>
      </c>
      <c r="H13" s="12">
        <v>182.9083620935904</v>
      </c>
      <c r="I13" s="12">
        <v>189.74336549883901</v>
      </c>
      <c r="J13" s="12"/>
      <c r="K13" s="12"/>
      <c r="L13" s="12">
        <v>165.92171650285391</v>
      </c>
      <c r="M13" s="12">
        <v>193.0600042790781</v>
      </c>
      <c r="N13" s="12">
        <v>14.80404064837068</v>
      </c>
      <c r="O13" s="12">
        <v>8.0936926441863594E-2</v>
      </c>
      <c r="P13" s="10" t="s">
        <v>168</v>
      </c>
      <c r="Q13" s="12">
        <v>128.0394295206095</v>
      </c>
      <c r="R13" s="12">
        <v>184.9083620935904</v>
      </c>
    </row>
    <row r="14" spans="1:18" ht="32.1" customHeight="1" x14ac:dyDescent="0.25">
      <c r="A14" s="10" t="s">
        <v>56</v>
      </c>
      <c r="B14" s="10" t="s">
        <v>58</v>
      </c>
      <c r="C14" s="10" t="s">
        <v>59</v>
      </c>
      <c r="D14" s="10" t="s">
        <v>62</v>
      </c>
      <c r="E14" s="10" t="s">
        <v>68</v>
      </c>
      <c r="F14" s="10" t="s">
        <v>167</v>
      </c>
      <c r="G14" s="11">
        <v>74</v>
      </c>
      <c r="H14" s="12">
        <v>195.2066367479103</v>
      </c>
      <c r="I14" s="12">
        <v>171.3776428542771</v>
      </c>
      <c r="J14" s="12">
        <v>363.3309889293256</v>
      </c>
      <c r="K14" s="12"/>
      <c r="L14" s="12">
        <v>75.534784205628597</v>
      </c>
      <c r="M14" s="12">
        <v>406.81314278879728</v>
      </c>
      <c r="N14" s="12">
        <v>86.94955106823403</v>
      </c>
      <c r="O14" s="12">
        <v>0.44542312964758779</v>
      </c>
      <c r="P14" s="10" t="s">
        <v>168</v>
      </c>
      <c r="Q14" s="12">
        <v>139.9820690622162</v>
      </c>
      <c r="R14" s="12">
        <v>197.2066367479103</v>
      </c>
    </row>
    <row r="15" spans="1:18" ht="32.1" customHeight="1" x14ac:dyDescent="0.25">
      <c r="A15" s="10" t="s">
        <v>56</v>
      </c>
      <c r="B15" s="10" t="s">
        <v>58</v>
      </c>
      <c r="C15" s="10" t="s">
        <v>59</v>
      </c>
      <c r="D15" s="10" t="s">
        <v>62</v>
      </c>
      <c r="E15" s="10" t="s">
        <v>68</v>
      </c>
      <c r="F15" s="10" t="s">
        <v>169</v>
      </c>
      <c r="G15" s="11">
        <v>4</v>
      </c>
      <c r="H15" s="12">
        <v>145.91321285440301</v>
      </c>
      <c r="I15" s="12">
        <v>147.22356359180989</v>
      </c>
      <c r="J15" s="12"/>
      <c r="K15" s="12"/>
      <c r="L15" s="12">
        <v>87.980056245094062</v>
      </c>
      <c r="M15" s="12">
        <v>201.22566798889821</v>
      </c>
      <c r="N15" s="12">
        <v>56.111976025164417</v>
      </c>
      <c r="O15" s="12">
        <v>0.3845571962091931</v>
      </c>
      <c r="P15" s="10" t="s">
        <v>168</v>
      </c>
      <c r="Q15" s="12">
        <v>105.05751325517021</v>
      </c>
      <c r="R15" s="12">
        <v>147.91321285440301</v>
      </c>
    </row>
    <row r="16" spans="1:18" ht="32.1" customHeight="1" x14ac:dyDescent="0.25">
      <c r="A16" s="10" t="s">
        <v>56</v>
      </c>
      <c r="B16" s="10" t="s">
        <v>58</v>
      </c>
      <c r="C16" s="10" t="s">
        <v>59</v>
      </c>
      <c r="D16" s="10" t="s">
        <v>63</v>
      </c>
      <c r="E16" s="10" t="s">
        <v>57</v>
      </c>
      <c r="F16" s="10" t="s">
        <v>167</v>
      </c>
      <c r="G16" s="11">
        <v>552</v>
      </c>
      <c r="H16" s="12">
        <v>57.933707548870593</v>
      </c>
      <c r="I16" s="12">
        <v>53.331764607791342</v>
      </c>
      <c r="J16" s="12">
        <v>101.5490622117331</v>
      </c>
      <c r="K16" s="12"/>
      <c r="L16" s="12">
        <v>15.69655336496384</v>
      </c>
      <c r="M16" s="12">
        <v>498.52722674985182</v>
      </c>
      <c r="N16" s="12">
        <v>29.31716966794621</v>
      </c>
      <c r="O16" s="12">
        <v>0.50604684057576343</v>
      </c>
      <c r="P16" s="10" t="s">
        <v>168</v>
      </c>
      <c r="Q16" s="12">
        <v>41.654953393358632</v>
      </c>
      <c r="R16" s="12">
        <v>59.933707548870593</v>
      </c>
    </row>
    <row r="17" spans="1:18" ht="32.1" customHeight="1" x14ac:dyDescent="0.25">
      <c r="A17" s="10" t="s">
        <v>56</v>
      </c>
      <c r="B17" s="10" t="s">
        <v>58</v>
      </c>
      <c r="C17" s="10" t="s">
        <v>59</v>
      </c>
      <c r="D17" s="10" t="s">
        <v>63</v>
      </c>
      <c r="E17" s="10" t="s">
        <v>57</v>
      </c>
      <c r="F17" s="10" t="s">
        <v>169</v>
      </c>
      <c r="G17" s="11">
        <v>34</v>
      </c>
      <c r="H17" s="12">
        <v>59.224865534033427</v>
      </c>
      <c r="I17" s="12">
        <v>56.360721522898999</v>
      </c>
      <c r="J17" s="12">
        <v>107.911333909806</v>
      </c>
      <c r="K17" s="12"/>
      <c r="L17" s="12">
        <v>21.19720295994075</v>
      </c>
      <c r="M17" s="12">
        <v>111.0400099845574</v>
      </c>
      <c r="N17" s="12">
        <v>24.830065516564911</v>
      </c>
      <c r="O17" s="12">
        <v>0.41925068622226552</v>
      </c>
      <c r="P17" s="10" t="s">
        <v>168</v>
      </c>
      <c r="Q17" s="12">
        <v>42.300025601136099</v>
      </c>
      <c r="R17" s="12">
        <v>61.224865534033427</v>
      </c>
    </row>
    <row r="18" spans="1:18" ht="32.1" customHeight="1" x14ac:dyDescent="0.25">
      <c r="A18" s="10" t="s">
        <v>56</v>
      </c>
      <c r="B18" s="10" t="s">
        <v>58</v>
      </c>
      <c r="C18" s="10" t="s">
        <v>59</v>
      </c>
      <c r="D18" s="10" t="s">
        <v>63</v>
      </c>
      <c r="E18" s="10" t="s">
        <v>65</v>
      </c>
      <c r="F18" s="10" t="s">
        <v>167</v>
      </c>
      <c r="G18" s="11">
        <v>546</v>
      </c>
      <c r="H18" s="12">
        <v>46.400448446602077</v>
      </c>
      <c r="I18" s="12">
        <v>41.143275366116832</v>
      </c>
      <c r="J18" s="12">
        <v>77.735062950390628</v>
      </c>
      <c r="K18" s="12"/>
      <c r="L18" s="12">
        <v>11.80627589007536</v>
      </c>
      <c r="M18" s="12">
        <v>587.50152866826647</v>
      </c>
      <c r="N18" s="12">
        <v>29.708112765951189</v>
      </c>
      <c r="O18" s="12">
        <v>0.64025486305675394</v>
      </c>
      <c r="P18" s="10" t="s">
        <v>168</v>
      </c>
      <c r="Q18" s="12">
        <v>33.403873113823323</v>
      </c>
      <c r="R18" s="12">
        <v>48.400448446602077</v>
      </c>
    </row>
    <row r="19" spans="1:18" ht="32.1" customHeight="1" x14ac:dyDescent="0.25">
      <c r="A19" s="10" t="s">
        <v>56</v>
      </c>
      <c r="B19" s="10" t="s">
        <v>58</v>
      </c>
      <c r="C19" s="10" t="s">
        <v>59</v>
      </c>
      <c r="D19" s="10" t="s">
        <v>63</v>
      </c>
      <c r="E19" s="10" t="s">
        <v>65</v>
      </c>
      <c r="F19" s="10" t="s">
        <v>169</v>
      </c>
      <c r="G19" s="11">
        <v>29</v>
      </c>
      <c r="H19" s="12">
        <v>63.453480241892599</v>
      </c>
      <c r="I19" s="12">
        <v>40.811035480205341</v>
      </c>
      <c r="J19" s="12">
        <v>112.5610096771489</v>
      </c>
      <c r="K19" s="12"/>
      <c r="L19" s="12">
        <v>17.200611173240151</v>
      </c>
      <c r="M19" s="12">
        <v>535.71531533829102</v>
      </c>
      <c r="N19" s="12">
        <v>93.663222157364402</v>
      </c>
      <c r="O19" s="12">
        <v>1.476092750158202</v>
      </c>
      <c r="P19" s="10" t="s">
        <v>168</v>
      </c>
      <c r="Q19" s="12">
        <v>45.686505774162683</v>
      </c>
      <c r="R19" s="12">
        <v>65.453480241892606</v>
      </c>
    </row>
    <row r="20" spans="1:18" ht="32.1" customHeight="1" x14ac:dyDescent="0.25">
      <c r="A20" s="10" t="s">
        <v>56</v>
      </c>
      <c r="B20" s="10" t="s">
        <v>58</v>
      </c>
      <c r="C20" s="10" t="s">
        <v>59</v>
      </c>
      <c r="D20" s="10" t="s">
        <v>63</v>
      </c>
      <c r="E20" s="10" t="s">
        <v>66</v>
      </c>
      <c r="F20" s="10" t="s">
        <v>167</v>
      </c>
      <c r="G20" s="11">
        <v>531</v>
      </c>
      <c r="H20" s="12">
        <v>62.476217448452992</v>
      </c>
      <c r="I20" s="12">
        <v>50.167961402446807</v>
      </c>
      <c r="J20" s="12">
        <v>104.3744094944913</v>
      </c>
      <c r="K20" s="12"/>
      <c r="L20" s="12">
        <v>13.57409618407201</v>
      </c>
      <c r="M20" s="12">
        <v>932.97067047469875</v>
      </c>
      <c r="N20" s="12">
        <v>75.744991137363101</v>
      </c>
      <c r="O20" s="12">
        <v>1.212381194489851</v>
      </c>
      <c r="P20" s="10" t="s">
        <v>168</v>
      </c>
      <c r="Q20" s="12">
        <v>45.390510566502392</v>
      </c>
      <c r="R20" s="12">
        <v>64.476217448452985</v>
      </c>
    </row>
    <row r="21" spans="1:18" ht="32.1" customHeight="1" x14ac:dyDescent="0.25">
      <c r="A21" s="10" t="s">
        <v>56</v>
      </c>
      <c r="B21" s="10" t="s">
        <v>58</v>
      </c>
      <c r="C21" s="10" t="s">
        <v>59</v>
      </c>
      <c r="D21" s="10" t="s">
        <v>63</v>
      </c>
      <c r="E21" s="10" t="s">
        <v>66</v>
      </c>
      <c r="F21" s="10" t="s">
        <v>169</v>
      </c>
      <c r="G21" s="11">
        <v>37</v>
      </c>
      <c r="H21" s="12">
        <v>51.611368063772737</v>
      </c>
      <c r="I21" s="12">
        <v>46.410551612537937</v>
      </c>
      <c r="J21" s="12">
        <v>85.679094189668305</v>
      </c>
      <c r="K21" s="12"/>
      <c r="L21" s="12">
        <v>22.762219291518729</v>
      </c>
      <c r="M21" s="12">
        <v>134.6302953191437</v>
      </c>
      <c r="N21" s="12">
        <v>21.69354729308824</v>
      </c>
      <c r="O21" s="12">
        <v>0.42032498085078768</v>
      </c>
      <c r="P21" s="10" t="s">
        <v>168</v>
      </c>
      <c r="Q21" s="12">
        <v>37.530704196007513</v>
      </c>
      <c r="R21" s="12">
        <v>53.611368063772737</v>
      </c>
    </row>
    <row r="22" spans="1:18" ht="32.1" customHeight="1" x14ac:dyDescent="0.25">
      <c r="A22" s="10" t="s">
        <v>56</v>
      </c>
      <c r="B22" s="10" t="s">
        <v>58</v>
      </c>
      <c r="C22" s="10" t="s">
        <v>59</v>
      </c>
      <c r="D22" s="10" t="s">
        <v>63</v>
      </c>
      <c r="E22" s="10" t="s">
        <v>67</v>
      </c>
      <c r="F22" s="10" t="s">
        <v>167</v>
      </c>
      <c r="G22" s="11">
        <v>553</v>
      </c>
      <c r="H22" s="12">
        <v>47.202116796148161</v>
      </c>
      <c r="I22" s="12">
        <v>40.970659670271679</v>
      </c>
      <c r="J22" s="12">
        <v>85.376449924411816</v>
      </c>
      <c r="K22" s="12"/>
      <c r="L22" s="12">
        <v>13.85325010034523</v>
      </c>
      <c r="M22" s="12">
        <v>924.16183852681957</v>
      </c>
      <c r="N22" s="12">
        <v>41.926260568467093</v>
      </c>
      <c r="O22" s="12">
        <v>0.8882283976698353</v>
      </c>
      <c r="P22" s="10" t="s">
        <v>168</v>
      </c>
      <c r="Q22" s="12">
        <v>33.962372076418717</v>
      </c>
      <c r="R22" s="12">
        <v>49.202116796148161</v>
      </c>
    </row>
    <row r="23" spans="1:18" ht="32.1" customHeight="1" x14ac:dyDescent="0.25">
      <c r="A23" s="10" t="s">
        <v>56</v>
      </c>
      <c r="B23" s="10" t="s">
        <v>58</v>
      </c>
      <c r="C23" s="10" t="s">
        <v>59</v>
      </c>
      <c r="D23" s="10" t="s">
        <v>63</v>
      </c>
      <c r="E23" s="10" t="s">
        <v>67</v>
      </c>
      <c r="F23" s="10" t="s">
        <v>169</v>
      </c>
      <c r="G23" s="11">
        <v>21</v>
      </c>
      <c r="H23" s="12">
        <v>48.794931351253062</v>
      </c>
      <c r="I23" s="12">
        <v>45.717808930785097</v>
      </c>
      <c r="J23" s="12">
        <v>86.322221225709526</v>
      </c>
      <c r="K23" s="12"/>
      <c r="L23" s="12">
        <v>16.03542127247022</v>
      </c>
      <c r="M23" s="12">
        <v>96.3242554306823</v>
      </c>
      <c r="N23" s="12">
        <v>23.418494757187059</v>
      </c>
      <c r="O23" s="12">
        <v>0.47993703666898729</v>
      </c>
      <c r="P23" s="10" t="s">
        <v>168</v>
      </c>
      <c r="Q23" s="12">
        <v>35.132350572902197</v>
      </c>
      <c r="R23" s="12">
        <v>50.794931351253069</v>
      </c>
    </row>
    <row r="24" spans="1:18" ht="32.1" customHeight="1" x14ac:dyDescent="0.25">
      <c r="A24" s="10" t="s">
        <v>56</v>
      </c>
      <c r="B24" s="10" t="s">
        <v>58</v>
      </c>
      <c r="C24" s="10" t="s">
        <v>59</v>
      </c>
      <c r="D24" s="10" t="s">
        <v>63</v>
      </c>
      <c r="E24" s="10" t="s">
        <v>68</v>
      </c>
      <c r="F24" s="10" t="s">
        <v>167</v>
      </c>
      <c r="G24" s="11">
        <v>562</v>
      </c>
      <c r="H24" s="12">
        <v>57.958821040678451</v>
      </c>
      <c r="I24" s="12">
        <v>50.908112920061861</v>
      </c>
      <c r="J24" s="12">
        <v>101.37136260989099</v>
      </c>
      <c r="K24" s="12"/>
      <c r="L24" s="12">
        <v>13.628823673791279</v>
      </c>
      <c r="M24" s="12">
        <v>855.45489677783667</v>
      </c>
      <c r="N24" s="12">
        <v>51.833973229482687</v>
      </c>
      <c r="O24" s="12">
        <v>0.89432414771002611</v>
      </c>
      <c r="P24" s="10" t="s">
        <v>168</v>
      </c>
      <c r="Q24" s="12">
        <v>39.899784487012461</v>
      </c>
      <c r="R24" s="12">
        <v>59.958821040678451</v>
      </c>
    </row>
    <row r="25" spans="1:18" ht="32.1" customHeight="1" x14ac:dyDescent="0.25">
      <c r="A25" s="10" t="s">
        <v>56</v>
      </c>
      <c r="B25" s="10" t="s">
        <v>58</v>
      </c>
      <c r="C25" s="10" t="s">
        <v>59</v>
      </c>
      <c r="D25" s="10" t="s">
        <v>63</v>
      </c>
      <c r="E25" s="10" t="s">
        <v>68</v>
      </c>
      <c r="F25" s="10" t="s">
        <v>169</v>
      </c>
      <c r="G25" s="11">
        <v>35</v>
      </c>
      <c r="H25" s="12">
        <v>57.874997782464163</v>
      </c>
      <c r="I25" s="12">
        <v>50.403011446356722</v>
      </c>
      <c r="J25" s="12">
        <v>111.1885217792408</v>
      </c>
      <c r="K25" s="12"/>
      <c r="L25" s="12">
        <v>26.060417617732281</v>
      </c>
      <c r="M25" s="12">
        <v>113.4533881542299</v>
      </c>
      <c r="N25" s="12">
        <v>24.397320725012172</v>
      </c>
      <c r="O25" s="12">
        <v>0.42155199412213967</v>
      </c>
      <c r="P25" s="10" t="s">
        <v>168</v>
      </c>
      <c r="Q25" s="12">
        <v>42.959090063676513</v>
      </c>
      <c r="R25" s="12">
        <v>59.874997782464163</v>
      </c>
    </row>
    <row r="26" spans="1:18" ht="32.1" customHeight="1" x14ac:dyDescent="0.25">
      <c r="A26" s="10" t="s">
        <v>56</v>
      </c>
      <c r="B26" s="10" t="s">
        <v>58</v>
      </c>
      <c r="C26" s="10" t="s">
        <v>59</v>
      </c>
      <c r="D26" s="10" t="s">
        <v>64</v>
      </c>
      <c r="E26" s="10" t="s">
        <v>57</v>
      </c>
      <c r="F26" s="10" t="s">
        <v>167</v>
      </c>
      <c r="G26" s="11">
        <v>155</v>
      </c>
      <c r="H26" s="12">
        <v>85.427203855251221</v>
      </c>
      <c r="I26" s="12">
        <v>78.247320622328004</v>
      </c>
      <c r="J26" s="12">
        <v>163.54148489266839</v>
      </c>
      <c r="K26" s="12"/>
      <c r="L26" s="12">
        <v>25.39275276477543</v>
      </c>
      <c r="M26" s="12">
        <v>241.75394061441341</v>
      </c>
      <c r="N26" s="12">
        <v>38.312485192178507</v>
      </c>
      <c r="O26" s="12">
        <v>0.44848108638901019</v>
      </c>
      <c r="P26" s="10" t="s">
        <v>168</v>
      </c>
      <c r="Q26" s="12">
        <v>61.392317574583309</v>
      </c>
      <c r="R26" s="12">
        <v>87.427203855251221</v>
      </c>
    </row>
    <row r="27" spans="1:18" ht="32.1" customHeight="1" x14ac:dyDescent="0.25">
      <c r="A27" s="10" t="s">
        <v>56</v>
      </c>
      <c r="B27" s="10" t="s">
        <v>58</v>
      </c>
      <c r="C27" s="10" t="s">
        <v>59</v>
      </c>
      <c r="D27" s="10" t="s">
        <v>64</v>
      </c>
      <c r="E27" s="10" t="s">
        <v>57</v>
      </c>
      <c r="F27" s="10" t="s">
        <v>169</v>
      </c>
      <c r="G27" s="11">
        <v>6</v>
      </c>
      <c r="H27" s="12">
        <v>88.519034068005723</v>
      </c>
      <c r="I27" s="12">
        <v>101.372503738136</v>
      </c>
      <c r="J27" s="12"/>
      <c r="K27" s="12"/>
      <c r="L27" s="12">
        <v>29.25019159206985</v>
      </c>
      <c r="M27" s="12">
        <v>129.551937325951</v>
      </c>
      <c r="N27" s="12">
        <v>40.546612557286032</v>
      </c>
      <c r="O27" s="12">
        <v>0.45805529832302111</v>
      </c>
      <c r="P27" s="10" t="s">
        <v>168</v>
      </c>
      <c r="Q27" s="12">
        <v>63.733704528964132</v>
      </c>
      <c r="R27" s="12">
        <v>90.519034068005723</v>
      </c>
    </row>
    <row r="28" spans="1:18" ht="32.1" customHeight="1" x14ac:dyDescent="0.25">
      <c r="A28" s="10" t="s">
        <v>56</v>
      </c>
      <c r="B28" s="10" t="s">
        <v>58</v>
      </c>
      <c r="C28" s="10" t="s">
        <v>59</v>
      </c>
      <c r="D28" s="10" t="s">
        <v>64</v>
      </c>
      <c r="E28" s="10" t="s">
        <v>65</v>
      </c>
      <c r="F28" s="10" t="s">
        <v>167</v>
      </c>
      <c r="G28" s="11">
        <v>167</v>
      </c>
      <c r="H28" s="12">
        <v>67.457927742592659</v>
      </c>
      <c r="I28" s="12">
        <v>61.843339022056092</v>
      </c>
      <c r="J28" s="12">
        <v>125.90636309026971</v>
      </c>
      <c r="K28" s="12"/>
      <c r="L28" s="12">
        <v>21.749133614070921</v>
      </c>
      <c r="M28" s="12">
        <v>182.91677592107541</v>
      </c>
      <c r="N28" s="12">
        <v>29.212584613796501</v>
      </c>
      <c r="O28" s="12">
        <v>0.4330489475642727</v>
      </c>
      <c r="P28" s="10" t="s">
        <v>168</v>
      </c>
      <c r="Q28" s="12">
        <v>48.241238187851067</v>
      </c>
      <c r="R28" s="12">
        <v>69.457927742592659</v>
      </c>
    </row>
    <row r="29" spans="1:18" ht="32.1" customHeight="1" x14ac:dyDescent="0.25">
      <c r="A29" s="10" t="s">
        <v>56</v>
      </c>
      <c r="B29" s="10" t="s">
        <v>58</v>
      </c>
      <c r="C29" s="10" t="s">
        <v>59</v>
      </c>
      <c r="D29" s="10" t="s">
        <v>64</v>
      </c>
      <c r="E29" s="10" t="s">
        <v>65</v>
      </c>
      <c r="F29" s="10" t="s">
        <v>169</v>
      </c>
      <c r="G29" s="11">
        <v>4</v>
      </c>
      <c r="H29" s="12">
        <v>73.868162382974745</v>
      </c>
      <c r="I29" s="12">
        <v>66.638212780040178</v>
      </c>
      <c r="J29" s="12"/>
      <c r="K29" s="12"/>
      <c r="L29" s="12">
        <v>48.397914558542929</v>
      </c>
      <c r="M29" s="12">
        <v>113.7983094132757</v>
      </c>
      <c r="N29" s="12">
        <v>30.67966169493041</v>
      </c>
      <c r="O29" s="12">
        <v>0.41532997038520492</v>
      </c>
      <c r="P29" s="10" t="s">
        <v>168</v>
      </c>
      <c r="Q29" s="12">
        <v>53.185076915741817</v>
      </c>
      <c r="R29" s="12">
        <v>75.868162382974745</v>
      </c>
    </row>
    <row r="30" spans="1:18" ht="32.1" customHeight="1" x14ac:dyDescent="0.25">
      <c r="A30" s="10" t="s">
        <v>56</v>
      </c>
      <c r="B30" s="10" t="s">
        <v>58</v>
      </c>
      <c r="C30" s="10" t="s">
        <v>59</v>
      </c>
      <c r="D30" s="10" t="s">
        <v>64</v>
      </c>
      <c r="E30" s="10" t="s">
        <v>66</v>
      </c>
      <c r="F30" s="10" t="s">
        <v>167</v>
      </c>
      <c r="G30" s="11">
        <v>158</v>
      </c>
      <c r="H30" s="12">
        <v>83.391387276946631</v>
      </c>
      <c r="I30" s="12">
        <v>77.404885952730496</v>
      </c>
      <c r="J30" s="12">
        <v>143.95314790988041</v>
      </c>
      <c r="K30" s="12"/>
      <c r="L30" s="12">
        <v>21.631114264866039</v>
      </c>
      <c r="M30" s="12">
        <v>221.40201848083831</v>
      </c>
      <c r="N30" s="12">
        <v>34.051725520924151</v>
      </c>
      <c r="O30" s="12">
        <v>0.40833623990253098</v>
      </c>
      <c r="P30" s="10" t="s">
        <v>168</v>
      </c>
      <c r="Q30" s="12">
        <v>60.349672450195193</v>
      </c>
      <c r="R30" s="12">
        <v>85.391387276946631</v>
      </c>
    </row>
    <row r="31" spans="1:18" ht="32.1" customHeight="1" x14ac:dyDescent="0.25">
      <c r="A31" s="10" t="s">
        <v>56</v>
      </c>
      <c r="B31" s="10" t="s">
        <v>58</v>
      </c>
      <c r="C31" s="10" t="s">
        <v>59</v>
      </c>
      <c r="D31" s="10" t="s">
        <v>64</v>
      </c>
      <c r="E31" s="10" t="s">
        <v>66</v>
      </c>
      <c r="F31" s="10" t="s">
        <v>169</v>
      </c>
      <c r="G31" s="11">
        <v>14</v>
      </c>
      <c r="H31" s="12">
        <v>84.133264727199361</v>
      </c>
      <c r="I31" s="12">
        <v>72.210512589078832</v>
      </c>
      <c r="J31" s="12"/>
      <c r="K31" s="12"/>
      <c r="L31" s="12">
        <v>31.34131915063557</v>
      </c>
      <c r="M31" s="12">
        <v>137.6726468773976</v>
      </c>
      <c r="N31" s="12">
        <v>31.738465523790889</v>
      </c>
      <c r="O31" s="12">
        <v>0.37724038912197588</v>
      </c>
      <c r="P31" s="10" t="s">
        <v>168</v>
      </c>
      <c r="Q31" s="12">
        <v>59.85399154998219</v>
      </c>
      <c r="R31" s="12">
        <v>86.133264727199375</v>
      </c>
    </row>
    <row r="32" spans="1:18" ht="32.1" customHeight="1" x14ac:dyDescent="0.25">
      <c r="A32" s="10" t="s">
        <v>56</v>
      </c>
      <c r="B32" s="10" t="s">
        <v>58</v>
      </c>
      <c r="C32" s="10" t="s">
        <v>59</v>
      </c>
      <c r="D32" s="10" t="s">
        <v>64</v>
      </c>
      <c r="E32" s="10" t="s">
        <v>67</v>
      </c>
      <c r="F32" s="10" t="s">
        <v>167</v>
      </c>
      <c r="G32" s="11">
        <v>154</v>
      </c>
      <c r="H32" s="12">
        <v>69.306067625018926</v>
      </c>
      <c r="I32" s="12">
        <v>64.439191790601612</v>
      </c>
      <c r="J32" s="12">
        <v>126.4590856632822</v>
      </c>
      <c r="K32" s="12"/>
      <c r="L32" s="12">
        <v>21.592087867850939</v>
      </c>
      <c r="M32" s="12">
        <v>209.39363518119879</v>
      </c>
      <c r="N32" s="12">
        <v>31.865827283127789</v>
      </c>
      <c r="O32" s="12">
        <v>0.45978409070239162</v>
      </c>
      <c r="P32" s="10" t="s">
        <v>168</v>
      </c>
      <c r="Q32" s="12">
        <v>49.193691382733647</v>
      </c>
      <c r="R32" s="12">
        <v>71.306067625018926</v>
      </c>
    </row>
    <row r="33" spans="1:18" ht="32.1" customHeight="1" x14ac:dyDescent="0.25">
      <c r="A33" s="10" t="s">
        <v>56</v>
      </c>
      <c r="B33" s="10" t="s">
        <v>58</v>
      </c>
      <c r="C33" s="10" t="s">
        <v>59</v>
      </c>
      <c r="D33" s="10" t="s">
        <v>64</v>
      </c>
      <c r="E33" s="10" t="s">
        <v>67</v>
      </c>
      <c r="F33" s="10" t="s">
        <v>169</v>
      </c>
      <c r="G33" s="11">
        <v>6</v>
      </c>
      <c r="H33" s="12">
        <v>80.971031006454567</v>
      </c>
      <c r="I33" s="12">
        <v>80.889904892205834</v>
      </c>
      <c r="J33" s="12"/>
      <c r="K33" s="12"/>
      <c r="L33" s="12">
        <v>27.08215925028167</v>
      </c>
      <c r="M33" s="12">
        <v>133.74919816182981</v>
      </c>
      <c r="N33" s="12">
        <v>40.688288739565337</v>
      </c>
      <c r="O33" s="12">
        <v>0.50250426891960764</v>
      </c>
      <c r="P33" s="10" t="s">
        <v>168</v>
      </c>
      <c r="Q33" s="12">
        <v>58.299142324647299</v>
      </c>
      <c r="R33" s="12">
        <v>82.971031006454567</v>
      </c>
    </row>
    <row r="34" spans="1:18" ht="32.1" customHeight="1" x14ac:dyDescent="0.25">
      <c r="A34" s="10" t="s">
        <v>56</v>
      </c>
      <c r="B34" s="10" t="s">
        <v>58</v>
      </c>
      <c r="C34" s="10" t="s">
        <v>59</v>
      </c>
      <c r="D34" s="10" t="s">
        <v>64</v>
      </c>
      <c r="E34" s="10" t="s">
        <v>68</v>
      </c>
      <c r="F34" s="10" t="s">
        <v>167</v>
      </c>
      <c r="G34" s="11">
        <v>145</v>
      </c>
      <c r="H34" s="12">
        <v>88.515935564623263</v>
      </c>
      <c r="I34" s="12">
        <v>74.16655371341821</v>
      </c>
      <c r="J34" s="12">
        <v>138.51433878094701</v>
      </c>
      <c r="K34" s="12"/>
      <c r="L34" s="12">
        <v>27.288487474705999</v>
      </c>
      <c r="M34" s="12">
        <v>1141.1705186334709</v>
      </c>
      <c r="N34" s="12">
        <v>93.569205078952081</v>
      </c>
      <c r="O34" s="12">
        <v>1.0570888109818319</v>
      </c>
      <c r="P34" s="10" t="s">
        <v>168</v>
      </c>
      <c r="Q34" s="12">
        <v>64.357033106422037</v>
      </c>
      <c r="R34" s="12">
        <v>90.515935564623263</v>
      </c>
    </row>
    <row r="35" spans="1:18" ht="32.1" customHeight="1" x14ac:dyDescent="0.25">
      <c r="A35" s="10" t="s">
        <v>56</v>
      </c>
      <c r="B35" s="10" t="s">
        <v>58</v>
      </c>
      <c r="C35" s="10" t="s">
        <v>59</v>
      </c>
      <c r="D35" s="10" t="s">
        <v>64</v>
      </c>
      <c r="E35" s="10" t="s">
        <v>68</v>
      </c>
      <c r="F35" s="10" t="s">
        <v>169</v>
      </c>
      <c r="G35" s="11">
        <v>10</v>
      </c>
      <c r="H35" s="12">
        <v>107.2852454640494</v>
      </c>
      <c r="I35" s="12">
        <v>103.16997354220079</v>
      </c>
      <c r="J35" s="12"/>
      <c r="K35" s="12"/>
      <c r="L35" s="12">
        <v>75.415947966622113</v>
      </c>
      <c r="M35" s="12">
        <v>167.8436355627735</v>
      </c>
      <c r="N35" s="12">
        <v>29.391048955791241</v>
      </c>
      <c r="O35" s="12">
        <v>0.27395238579791459</v>
      </c>
      <c r="P35" s="10" t="s">
        <v>168</v>
      </c>
      <c r="Q35" s="12">
        <v>77.245376734115581</v>
      </c>
      <c r="R35" s="12">
        <v>109.2852454640494</v>
      </c>
    </row>
    <row r="36" spans="1:18" ht="32.1" customHeight="1" x14ac:dyDescent="0.25">
      <c r="A36" s="10" t="s">
        <v>56</v>
      </c>
      <c r="B36" s="10" t="s">
        <v>58</v>
      </c>
      <c r="C36" s="10" t="s">
        <v>70</v>
      </c>
      <c r="D36" s="10" t="s">
        <v>62</v>
      </c>
      <c r="E36" s="10" t="s">
        <v>69</v>
      </c>
      <c r="F36" s="10" t="s">
        <v>167</v>
      </c>
      <c r="G36" s="11">
        <v>4</v>
      </c>
      <c r="H36" s="12">
        <v>124.8119754509174</v>
      </c>
      <c r="I36" s="12">
        <v>117.1216215028735</v>
      </c>
      <c r="J36" s="12"/>
      <c r="K36" s="12"/>
      <c r="L36" s="12">
        <v>99.366741764145985</v>
      </c>
      <c r="M36" s="12">
        <v>165.63791703377689</v>
      </c>
      <c r="N36" s="12">
        <v>28.768607511248721</v>
      </c>
      <c r="O36" s="12">
        <v>0.2304955706959548</v>
      </c>
      <c r="P36" s="10" t="s">
        <v>168</v>
      </c>
      <c r="Q36" s="12">
        <v>89.864622324660573</v>
      </c>
      <c r="R36" s="12">
        <v>126.8119754509175</v>
      </c>
    </row>
    <row r="37" spans="1:18" ht="32.1" customHeight="1" x14ac:dyDescent="0.25">
      <c r="A37" s="10" t="s">
        <v>56</v>
      </c>
      <c r="B37" s="10" t="s">
        <v>58</v>
      </c>
      <c r="C37" s="10" t="s">
        <v>70</v>
      </c>
      <c r="D37" s="10" t="s">
        <v>62</v>
      </c>
      <c r="E37" s="10" t="s">
        <v>72</v>
      </c>
      <c r="F37" s="10" t="s">
        <v>167</v>
      </c>
      <c r="G37" s="11">
        <v>1</v>
      </c>
      <c r="H37" s="12">
        <v>130.91348632908401</v>
      </c>
      <c r="I37" s="12">
        <v>130.91348632908401</v>
      </c>
      <c r="J37" s="12"/>
      <c r="K37" s="12"/>
      <c r="L37" s="12">
        <v>130.91348632908401</v>
      </c>
      <c r="M37" s="12">
        <v>130.91348632908401</v>
      </c>
      <c r="N37" s="12"/>
      <c r="O37" s="12"/>
      <c r="P37" s="10" t="s">
        <v>168</v>
      </c>
      <c r="Q37" s="12">
        <v>94.257710156940462</v>
      </c>
      <c r="R37" s="12">
        <v>132.91348632908401</v>
      </c>
    </row>
    <row r="38" spans="1:18" ht="32.1" customHeight="1" x14ac:dyDescent="0.25">
      <c r="A38" s="10" t="s">
        <v>56</v>
      </c>
      <c r="B38" s="10" t="s">
        <v>58</v>
      </c>
      <c r="C38" s="10" t="s">
        <v>70</v>
      </c>
      <c r="D38" s="10" t="s">
        <v>62</v>
      </c>
      <c r="E38" s="10" t="s">
        <v>73</v>
      </c>
      <c r="F38" s="10" t="s">
        <v>167</v>
      </c>
      <c r="G38" s="11">
        <v>2</v>
      </c>
      <c r="H38" s="12">
        <v>136.362034968632</v>
      </c>
      <c r="I38" s="12">
        <v>136.362034968632</v>
      </c>
      <c r="J38" s="12"/>
      <c r="K38" s="12"/>
      <c r="L38" s="12">
        <v>130.50947731309219</v>
      </c>
      <c r="M38" s="12">
        <v>142.21459262417179</v>
      </c>
      <c r="N38" s="12">
        <v>8.2767664110348669</v>
      </c>
      <c r="O38" s="12">
        <v>6.0696999813318997E-2</v>
      </c>
      <c r="P38" s="10" t="s">
        <v>168</v>
      </c>
      <c r="Q38" s="12">
        <v>98.180665177415023</v>
      </c>
      <c r="R38" s="12">
        <v>138.362034968632</v>
      </c>
    </row>
    <row r="39" spans="1:18" ht="32.1" customHeight="1" x14ac:dyDescent="0.25">
      <c r="A39" s="10" t="s">
        <v>56</v>
      </c>
      <c r="B39" s="10" t="s">
        <v>58</v>
      </c>
      <c r="C39" s="10" t="s">
        <v>70</v>
      </c>
      <c r="D39" s="10" t="s">
        <v>62</v>
      </c>
      <c r="E39" s="10" t="s">
        <v>74</v>
      </c>
      <c r="F39" s="10" t="s">
        <v>167</v>
      </c>
      <c r="G39" s="11">
        <v>1</v>
      </c>
      <c r="H39" s="12">
        <v>63.83982687682834</v>
      </c>
      <c r="I39" s="12">
        <v>63.83982687682834</v>
      </c>
      <c r="J39" s="12"/>
      <c r="K39" s="12"/>
      <c r="L39" s="12">
        <v>63.83982687682834</v>
      </c>
      <c r="M39" s="12">
        <v>63.83982687682834</v>
      </c>
      <c r="N39" s="12"/>
      <c r="O39" s="12"/>
      <c r="P39" s="10" t="s">
        <v>168</v>
      </c>
      <c r="Q39" s="12">
        <v>45.964675351316401</v>
      </c>
      <c r="R39" s="12">
        <v>65.83982687682834</v>
      </c>
    </row>
    <row r="40" spans="1:18" ht="32.1" customHeight="1" x14ac:dyDescent="0.25">
      <c r="A40" s="10" t="s">
        <v>56</v>
      </c>
      <c r="B40" s="10" t="s">
        <v>58</v>
      </c>
      <c r="C40" s="10" t="s">
        <v>70</v>
      </c>
      <c r="D40" s="10" t="s">
        <v>62</v>
      </c>
      <c r="E40" s="10" t="s">
        <v>75</v>
      </c>
      <c r="F40" s="10" t="s">
        <v>167</v>
      </c>
      <c r="G40" s="11">
        <v>2</v>
      </c>
      <c r="H40" s="12">
        <v>92.196162369744741</v>
      </c>
      <c r="I40" s="12">
        <v>92.196162369744741</v>
      </c>
      <c r="J40" s="12"/>
      <c r="K40" s="12"/>
      <c r="L40" s="12">
        <v>79.694749301376802</v>
      </c>
      <c r="M40" s="12">
        <v>104.69757543811269</v>
      </c>
      <c r="N40" s="12">
        <v>17.67966791011419</v>
      </c>
      <c r="O40" s="12">
        <v>0.19176142971343429</v>
      </c>
      <c r="P40" s="10" t="s">
        <v>168</v>
      </c>
      <c r="Q40" s="12">
        <v>66.381236906216216</v>
      </c>
      <c r="R40" s="12">
        <v>94.196162369744741</v>
      </c>
    </row>
    <row r="41" spans="1:18" ht="32.1" customHeight="1" x14ac:dyDescent="0.25">
      <c r="A41" s="10" t="s">
        <v>56</v>
      </c>
      <c r="B41" s="10" t="s">
        <v>58</v>
      </c>
      <c r="C41" s="10" t="s">
        <v>70</v>
      </c>
      <c r="D41" s="10" t="s">
        <v>63</v>
      </c>
      <c r="E41" s="10" t="s">
        <v>69</v>
      </c>
      <c r="F41" s="10" t="s">
        <v>170</v>
      </c>
      <c r="G41" s="11">
        <v>1</v>
      </c>
      <c r="H41" s="12">
        <v>677.13219584566434</v>
      </c>
      <c r="I41" s="12">
        <v>677.13219584566434</v>
      </c>
      <c r="J41" s="12"/>
      <c r="K41" s="12"/>
      <c r="L41" s="12">
        <v>677.13219584566434</v>
      </c>
      <c r="M41" s="12">
        <v>677.13219584566434</v>
      </c>
      <c r="N41" s="12"/>
      <c r="O41" s="12"/>
      <c r="P41" s="10" t="s">
        <v>168</v>
      </c>
      <c r="Q41" s="12">
        <v>487.53518100887828</v>
      </c>
      <c r="R41" s="12">
        <v>679.13219584566434</v>
      </c>
    </row>
    <row r="42" spans="1:18" ht="32.1" customHeight="1" x14ac:dyDescent="0.25">
      <c r="A42" s="10" t="s">
        <v>56</v>
      </c>
      <c r="B42" s="10" t="s">
        <v>58</v>
      </c>
      <c r="C42" s="10" t="s">
        <v>70</v>
      </c>
      <c r="D42" s="10" t="s">
        <v>63</v>
      </c>
      <c r="E42" s="10" t="s">
        <v>69</v>
      </c>
      <c r="F42" s="10" t="s">
        <v>167</v>
      </c>
      <c r="G42" s="11">
        <v>12</v>
      </c>
      <c r="H42" s="12">
        <v>47.934586444287298</v>
      </c>
      <c r="I42" s="12">
        <v>47.308842882091639</v>
      </c>
      <c r="J42" s="12"/>
      <c r="K42" s="12"/>
      <c r="L42" s="12">
        <v>23.926021009329808</v>
      </c>
      <c r="M42" s="12">
        <v>94.171301481492122</v>
      </c>
      <c r="N42" s="12">
        <v>20.352158241421151</v>
      </c>
      <c r="O42" s="12">
        <v>0.42458190945437191</v>
      </c>
      <c r="P42" s="10" t="s">
        <v>168</v>
      </c>
      <c r="Q42" s="12">
        <v>34.512902239886849</v>
      </c>
      <c r="R42" s="12">
        <v>49.934586444287312</v>
      </c>
    </row>
    <row r="43" spans="1:18" ht="32.1" customHeight="1" x14ac:dyDescent="0.25">
      <c r="A43" s="10" t="s">
        <v>56</v>
      </c>
      <c r="B43" s="10" t="s">
        <v>58</v>
      </c>
      <c r="C43" s="10" t="s">
        <v>70</v>
      </c>
      <c r="D43" s="10" t="s">
        <v>63</v>
      </c>
      <c r="E43" s="10" t="s">
        <v>69</v>
      </c>
      <c r="F43" s="10" t="s">
        <v>169</v>
      </c>
      <c r="G43" s="11">
        <v>2</v>
      </c>
      <c r="H43" s="12">
        <v>49.563500600256788</v>
      </c>
      <c r="I43" s="12">
        <v>49.563500600256788</v>
      </c>
      <c r="J43" s="12"/>
      <c r="K43" s="12"/>
      <c r="L43" s="12">
        <v>44.097872539952469</v>
      </c>
      <c r="M43" s="12">
        <v>55.029128660561113</v>
      </c>
      <c r="N43" s="12">
        <v>7.7295653297693248</v>
      </c>
      <c r="O43" s="12">
        <v>0.15595277242643499</v>
      </c>
      <c r="P43" s="10" t="s">
        <v>168</v>
      </c>
      <c r="Q43" s="12">
        <v>35.685720432184887</v>
      </c>
      <c r="R43" s="12">
        <v>51.563500600256788</v>
      </c>
    </row>
    <row r="44" spans="1:18" ht="32.1" customHeight="1" x14ac:dyDescent="0.25">
      <c r="A44" s="10" t="s">
        <v>56</v>
      </c>
      <c r="B44" s="10" t="s">
        <v>58</v>
      </c>
      <c r="C44" s="10" t="s">
        <v>70</v>
      </c>
      <c r="D44" s="10" t="s">
        <v>63</v>
      </c>
      <c r="E44" s="10" t="s">
        <v>72</v>
      </c>
      <c r="F44" s="10" t="s">
        <v>167</v>
      </c>
      <c r="G44" s="11">
        <v>17</v>
      </c>
      <c r="H44" s="12">
        <v>36.556551198918299</v>
      </c>
      <c r="I44" s="12">
        <v>33.759338409107542</v>
      </c>
      <c r="J44" s="12"/>
      <c r="K44" s="12"/>
      <c r="L44" s="12">
        <v>20.136932713710468</v>
      </c>
      <c r="M44" s="12">
        <v>65.743731426510607</v>
      </c>
      <c r="N44" s="12">
        <v>12.88907715262712</v>
      </c>
      <c r="O44" s="12">
        <v>0.35257913369597371</v>
      </c>
      <c r="P44" s="10" t="s">
        <v>168</v>
      </c>
      <c r="Q44" s="12">
        <v>26.320716863221179</v>
      </c>
      <c r="R44" s="12">
        <v>38.556551198918299</v>
      </c>
    </row>
    <row r="45" spans="1:18" ht="32.1" customHeight="1" x14ac:dyDescent="0.25">
      <c r="A45" s="10" t="s">
        <v>56</v>
      </c>
      <c r="B45" s="10" t="s">
        <v>58</v>
      </c>
      <c r="C45" s="10" t="s">
        <v>70</v>
      </c>
      <c r="D45" s="10" t="s">
        <v>63</v>
      </c>
      <c r="E45" s="10" t="s">
        <v>72</v>
      </c>
      <c r="F45" s="10" t="s">
        <v>169</v>
      </c>
      <c r="G45" s="11">
        <v>1</v>
      </c>
      <c r="H45" s="12">
        <v>15.15965331687366</v>
      </c>
      <c r="I45" s="12">
        <v>15.15965331687366</v>
      </c>
      <c r="J45" s="12"/>
      <c r="K45" s="12"/>
      <c r="L45" s="12">
        <v>15.15965331687366</v>
      </c>
      <c r="M45" s="12">
        <v>15.15965331687366</v>
      </c>
      <c r="N45" s="12"/>
      <c r="O45" s="12"/>
      <c r="P45" s="10" t="s">
        <v>168</v>
      </c>
      <c r="Q45" s="12">
        <v>10.914950388149039</v>
      </c>
      <c r="R45" s="12">
        <v>17.159653316873658</v>
      </c>
    </row>
    <row r="46" spans="1:18" ht="32.1" customHeight="1" x14ac:dyDescent="0.25">
      <c r="A46" s="10" t="s">
        <v>56</v>
      </c>
      <c r="B46" s="10" t="s">
        <v>58</v>
      </c>
      <c r="C46" s="10" t="s">
        <v>70</v>
      </c>
      <c r="D46" s="10" t="s">
        <v>63</v>
      </c>
      <c r="E46" s="10" t="s">
        <v>73</v>
      </c>
      <c r="F46" s="10" t="s">
        <v>170</v>
      </c>
      <c r="G46" s="11">
        <v>1</v>
      </c>
      <c r="H46" s="12">
        <v>365.9571812852293</v>
      </c>
      <c r="I46" s="12">
        <v>365.9571812852293</v>
      </c>
      <c r="J46" s="12"/>
      <c r="K46" s="12"/>
      <c r="L46" s="12">
        <v>365.9571812852293</v>
      </c>
      <c r="M46" s="12">
        <v>365.9571812852293</v>
      </c>
      <c r="N46" s="12"/>
      <c r="O46" s="12"/>
      <c r="P46" s="10" t="s">
        <v>168</v>
      </c>
      <c r="Q46" s="12">
        <v>263.48917052536513</v>
      </c>
      <c r="R46" s="12">
        <v>367.9571812852293</v>
      </c>
    </row>
    <row r="47" spans="1:18" ht="32.1" customHeight="1" x14ac:dyDescent="0.25">
      <c r="A47" s="10" t="s">
        <v>56</v>
      </c>
      <c r="B47" s="10" t="s">
        <v>58</v>
      </c>
      <c r="C47" s="10" t="s">
        <v>70</v>
      </c>
      <c r="D47" s="10" t="s">
        <v>63</v>
      </c>
      <c r="E47" s="10" t="s">
        <v>73</v>
      </c>
      <c r="F47" s="10" t="s">
        <v>167</v>
      </c>
      <c r="G47" s="11">
        <v>13</v>
      </c>
      <c r="H47" s="12">
        <v>31.582259140607921</v>
      </c>
      <c r="I47" s="12">
        <v>32.065496303976822</v>
      </c>
      <c r="J47" s="12"/>
      <c r="K47" s="12"/>
      <c r="L47" s="12">
        <v>11.780605316355629</v>
      </c>
      <c r="M47" s="12">
        <v>47.715566066122079</v>
      </c>
      <c r="N47" s="12">
        <v>9.5569607010279753</v>
      </c>
      <c r="O47" s="12">
        <v>0.3026053537993994</v>
      </c>
      <c r="P47" s="10" t="s">
        <v>168</v>
      </c>
      <c r="Q47" s="12">
        <v>22.739226581237709</v>
      </c>
      <c r="R47" s="12">
        <v>33.582259140607917</v>
      </c>
    </row>
    <row r="48" spans="1:18" ht="32.1" customHeight="1" x14ac:dyDescent="0.25">
      <c r="A48" s="10" t="s">
        <v>56</v>
      </c>
      <c r="B48" s="10" t="s">
        <v>58</v>
      </c>
      <c r="C48" s="10" t="s">
        <v>70</v>
      </c>
      <c r="D48" s="10" t="s">
        <v>63</v>
      </c>
      <c r="E48" s="10" t="s">
        <v>73</v>
      </c>
      <c r="F48" s="10" t="s">
        <v>169</v>
      </c>
      <c r="G48" s="11">
        <v>1</v>
      </c>
      <c r="H48" s="12">
        <v>37.776889930441833</v>
      </c>
      <c r="I48" s="12">
        <v>37.776889930441833</v>
      </c>
      <c r="J48" s="12"/>
      <c r="K48" s="12"/>
      <c r="L48" s="12">
        <v>37.776889930441833</v>
      </c>
      <c r="M48" s="12">
        <v>37.776889930441833</v>
      </c>
      <c r="N48" s="12"/>
      <c r="O48" s="12"/>
      <c r="P48" s="10" t="s">
        <v>168</v>
      </c>
      <c r="Q48" s="12">
        <v>27.199360749918121</v>
      </c>
      <c r="R48" s="12">
        <v>39.776889930441833</v>
      </c>
    </row>
    <row r="49" spans="1:18" ht="32.1" customHeight="1" x14ac:dyDescent="0.25">
      <c r="A49" s="10" t="s">
        <v>56</v>
      </c>
      <c r="B49" s="10" t="s">
        <v>58</v>
      </c>
      <c r="C49" s="10" t="s">
        <v>70</v>
      </c>
      <c r="D49" s="10" t="s">
        <v>63</v>
      </c>
      <c r="E49" s="10" t="s">
        <v>74</v>
      </c>
      <c r="F49" s="10" t="s">
        <v>170</v>
      </c>
      <c r="G49" s="11">
        <v>1</v>
      </c>
      <c r="H49" s="12">
        <v>726.83519022704309</v>
      </c>
      <c r="I49" s="12">
        <v>726.83519022704309</v>
      </c>
      <c r="J49" s="12"/>
      <c r="K49" s="12"/>
      <c r="L49" s="12">
        <v>726.83519022704309</v>
      </c>
      <c r="M49" s="12">
        <v>726.83519022704309</v>
      </c>
      <c r="N49" s="12"/>
      <c r="O49" s="12"/>
      <c r="P49" s="10" t="s">
        <v>168</v>
      </c>
      <c r="Q49" s="12">
        <v>523.32133696347103</v>
      </c>
      <c r="R49" s="12">
        <v>728.83519022704309</v>
      </c>
    </row>
    <row r="50" spans="1:18" ht="32.1" customHeight="1" x14ac:dyDescent="0.25">
      <c r="A50" s="10" t="s">
        <v>56</v>
      </c>
      <c r="B50" s="10" t="s">
        <v>58</v>
      </c>
      <c r="C50" s="10" t="s">
        <v>70</v>
      </c>
      <c r="D50" s="10" t="s">
        <v>63</v>
      </c>
      <c r="E50" s="10" t="s">
        <v>74</v>
      </c>
      <c r="F50" s="10" t="s">
        <v>167</v>
      </c>
      <c r="G50" s="11">
        <v>12</v>
      </c>
      <c r="H50" s="12">
        <v>46.81941308739146</v>
      </c>
      <c r="I50" s="12">
        <v>40.093619546875651</v>
      </c>
      <c r="J50" s="12"/>
      <c r="K50" s="12"/>
      <c r="L50" s="12">
        <v>20.464773620501209</v>
      </c>
      <c r="M50" s="12">
        <v>110.982535679668</v>
      </c>
      <c r="N50" s="12">
        <v>23.342023923317431</v>
      </c>
      <c r="O50" s="12">
        <v>0.49855438981578087</v>
      </c>
      <c r="P50" s="10" t="s">
        <v>168</v>
      </c>
      <c r="Q50" s="12">
        <v>33.709977422921853</v>
      </c>
      <c r="R50" s="12">
        <v>48.819413087391467</v>
      </c>
    </row>
    <row r="51" spans="1:18" ht="32.1" customHeight="1" x14ac:dyDescent="0.25">
      <c r="A51" s="10" t="s">
        <v>56</v>
      </c>
      <c r="B51" s="10" t="s">
        <v>58</v>
      </c>
      <c r="C51" s="10" t="s">
        <v>70</v>
      </c>
      <c r="D51" s="10" t="s">
        <v>63</v>
      </c>
      <c r="E51" s="10" t="s">
        <v>74</v>
      </c>
      <c r="F51" s="10" t="s">
        <v>169</v>
      </c>
      <c r="G51" s="11">
        <v>1</v>
      </c>
      <c r="H51" s="12">
        <v>31.37162227751589</v>
      </c>
      <c r="I51" s="12">
        <v>31.37162227751589</v>
      </c>
      <c r="J51" s="12"/>
      <c r="K51" s="12"/>
      <c r="L51" s="12">
        <v>31.37162227751589</v>
      </c>
      <c r="M51" s="12">
        <v>31.37162227751589</v>
      </c>
      <c r="N51" s="12"/>
      <c r="O51" s="12"/>
      <c r="P51" s="10" t="s">
        <v>168</v>
      </c>
      <c r="Q51" s="12">
        <v>22.58756803981144</v>
      </c>
      <c r="R51" s="12">
        <v>33.371622277515897</v>
      </c>
    </row>
    <row r="52" spans="1:18" ht="32.1" customHeight="1" x14ac:dyDescent="0.25">
      <c r="A52" s="10" t="s">
        <v>56</v>
      </c>
      <c r="B52" s="10" t="s">
        <v>58</v>
      </c>
      <c r="C52" s="10" t="s">
        <v>70</v>
      </c>
      <c r="D52" s="10" t="s">
        <v>63</v>
      </c>
      <c r="E52" s="10" t="s">
        <v>75</v>
      </c>
      <c r="F52" s="10" t="s">
        <v>167</v>
      </c>
      <c r="G52" s="11">
        <v>11</v>
      </c>
      <c r="H52" s="12">
        <v>37.922397457044028</v>
      </c>
      <c r="I52" s="12">
        <v>32.623380885876429</v>
      </c>
      <c r="J52" s="12"/>
      <c r="K52" s="12"/>
      <c r="L52" s="12">
        <v>24.42767040926066</v>
      </c>
      <c r="M52" s="12">
        <v>53.24410292529398</v>
      </c>
      <c r="N52" s="12">
        <v>10.69015108001312</v>
      </c>
      <c r="O52" s="12">
        <v>0.28189544429837837</v>
      </c>
      <c r="P52" s="10" t="s">
        <v>168</v>
      </c>
      <c r="Q52" s="12">
        <v>27.30412616907169</v>
      </c>
      <c r="R52" s="12">
        <v>39.922397457044028</v>
      </c>
    </row>
    <row r="53" spans="1:18" ht="32.1" customHeight="1" x14ac:dyDescent="0.25">
      <c r="A53" s="10" t="s">
        <v>56</v>
      </c>
      <c r="B53" s="10" t="s">
        <v>58</v>
      </c>
      <c r="C53" s="10" t="s">
        <v>70</v>
      </c>
      <c r="D53" s="10" t="s">
        <v>64</v>
      </c>
      <c r="E53" s="10" t="s">
        <v>69</v>
      </c>
      <c r="F53" s="10" t="s">
        <v>167</v>
      </c>
      <c r="G53" s="11">
        <v>2</v>
      </c>
      <c r="H53" s="12">
        <v>78.430307408935818</v>
      </c>
      <c r="I53" s="12">
        <v>78.430307408935818</v>
      </c>
      <c r="J53" s="12"/>
      <c r="K53" s="12"/>
      <c r="L53" s="12">
        <v>57.176987104140153</v>
      </c>
      <c r="M53" s="12">
        <v>99.683627713731482</v>
      </c>
      <c r="N53" s="12">
        <v>30.05673382050152</v>
      </c>
      <c r="O53" s="12">
        <v>0.38322856066068478</v>
      </c>
      <c r="P53" s="10" t="s">
        <v>168</v>
      </c>
      <c r="Q53" s="12">
        <v>56.469821334433789</v>
      </c>
      <c r="R53" s="12">
        <v>80.430307408935818</v>
      </c>
    </row>
    <row r="54" spans="1:18" ht="32.1" customHeight="1" x14ac:dyDescent="0.25">
      <c r="A54" s="10" t="s">
        <v>56</v>
      </c>
      <c r="B54" s="10" t="s">
        <v>58</v>
      </c>
      <c r="C54" s="10" t="s">
        <v>70</v>
      </c>
      <c r="D54" s="10" t="s">
        <v>64</v>
      </c>
      <c r="E54" s="10" t="s">
        <v>72</v>
      </c>
      <c r="F54" s="10" t="s">
        <v>167</v>
      </c>
      <c r="G54" s="11">
        <v>1</v>
      </c>
      <c r="H54" s="12">
        <v>50.960815821418443</v>
      </c>
      <c r="I54" s="12">
        <v>50.960815821418443</v>
      </c>
      <c r="J54" s="12"/>
      <c r="K54" s="12"/>
      <c r="L54" s="12">
        <v>50.960815821418443</v>
      </c>
      <c r="M54" s="12">
        <v>50.960815821418443</v>
      </c>
      <c r="N54" s="12"/>
      <c r="O54" s="12"/>
      <c r="P54" s="10" t="s">
        <v>168</v>
      </c>
      <c r="Q54" s="12">
        <v>36.691787391421279</v>
      </c>
      <c r="R54" s="12">
        <v>52.960815821418443</v>
      </c>
    </row>
    <row r="55" spans="1:18" ht="32.1" customHeight="1" x14ac:dyDescent="0.25">
      <c r="A55" s="10" t="s">
        <v>56</v>
      </c>
      <c r="B55" s="10" t="s">
        <v>58</v>
      </c>
      <c r="C55" s="10" t="s">
        <v>70</v>
      </c>
      <c r="D55" s="10" t="s">
        <v>64</v>
      </c>
      <c r="E55" s="10" t="s">
        <v>72</v>
      </c>
      <c r="F55" s="10" t="s">
        <v>169</v>
      </c>
      <c r="G55" s="11">
        <v>1</v>
      </c>
      <c r="H55" s="12">
        <v>86.840597523793647</v>
      </c>
      <c r="I55" s="12">
        <v>86.840597523793647</v>
      </c>
      <c r="J55" s="12"/>
      <c r="K55" s="12"/>
      <c r="L55" s="12">
        <v>86.840597523793647</v>
      </c>
      <c r="M55" s="12">
        <v>86.840597523793647</v>
      </c>
      <c r="N55" s="12"/>
      <c r="O55" s="12"/>
      <c r="P55" s="10" t="s">
        <v>168</v>
      </c>
      <c r="Q55" s="12">
        <v>62.525230217131423</v>
      </c>
      <c r="R55" s="12">
        <v>88.840597523793647</v>
      </c>
    </row>
    <row r="56" spans="1:18" ht="32.1" customHeight="1" x14ac:dyDescent="0.25">
      <c r="A56" s="10" t="s">
        <v>56</v>
      </c>
      <c r="B56" s="10" t="s">
        <v>58</v>
      </c>
      <c r="C56" s="10" t="s">
        <v>70</v>
      </c>
      <c r="D56" s="10" t="s">
        <v>64</v>
      </c>
      <c r="E56" s="10" t="s">
        <v>73</v>
      </c>
      <c r="F56" s="10" t="s">
        <v>167</v>
      </c>
      <c r="G56" s="11">
        <v>4</v>
      </c>
      <c r="H56" s="12">
        <v>46.764636632202539</v>
      </c>
      <c r="I56" s="12">
        <v>45.985441504804477</v>
      </c>
      <c r="J56" s="12"/>
      <c r="K56" s="12"/>
      <c r="L56" s="12">
        <v>27.342508289529569</v>
      </c>
      <c r="M56" s="12">
        <v>67.74515522967161</v>
      </c>
      <c r="N56" s="12">
        <v>20.12189308923951</v>
      </c>
      <c r="O56" s="12">
        <v>0.43028011203199212</v>
      </c>
      <c r="P56" s="10" t="s">
        <v>168</v>
      </c>
      <c r="Q56" s="12">
        <v>33.670538375185828</v>
      </c>
      <c r="R56" s="12">
        <v>48.764636632202539</v>
      </c>
    </row>
    <row r="57" spans="1:18" ht="32.1" customHeight="1" x14ac:dyDescent="0.25">
      <c r="A57" s="10" t="s">
        <v>56</v>
      </c>
      <c r="B57" s="10" t="s">
        <v>58</v>
      </c>
      <c r="C57" s="10" t="s">
        <v>70</v>
      </c>
      <c r="D57" s="10" t="s">
        <v>64</v>
      </c>
      <c r="E57" s="10" t="s">
        <v>74</v>
      </c>
      <c r="F57" s="10" t="s">
        <v>167</v>
      </c>
      <c r="G57" s="11">
        <v>5</v>
      </c>
      <c r="H57" s="12">
        <v>66.12488427515072</v>
      </c>
      <c r="I57" s="12">
        <v>63.915518076487928</v>
      </c>
      <c r="J57" s="12"/>
      <c r="K57" s="12"/>
      <c r="L57" s="12">
        <v>41.693547989545408</v>
      </c>
      <c r="M57" s="12">
        <v>92.976721798140957</v>
      </c>
      <c r="N57" s="12">
        <v>20.7792949861567</v>
      </c>
      <c r="O57" s="12">
        <v>0.31424319624806391</v>
      </c>
      <c r="P57" s="10" t="s">
        <v>168</v>
      </c>
      <c r="Q57" s="12">
        <v>47.609916678108519</v>
      </c>
      <c r="R57" s="12">
        <v>68.12488427515072</v>
      </c>
    </row>
    <row r="58" spans="1:18" ht="32.1" customHeight="1" x14ac:dyDescent="0.25">
      <c r="A58" s="10" t="s">
        <v>56</v>
      </c>
      <c r="B58" s="10" t="s">
        <v>58</v>
      </c>
      <c r="C58" s="10" t="s">
        <v>70</v>
      </c>
      <c r="D58" s="10" t="s">
        <v>64</v>
      </c>
      <c r="E58" s="10" t="s">
        <v>74</v>
      </c>
      <c r="F58" s="10" t="s">
        <v>169</v>
      </c>
      <c r="G58" s="11">
        <v>1</v>
      </c>
      <c r="H58" s="12">
        <v>33.016180241876377</v>
      </c>
      <c r="I58" s="12">
        <v>33.016180241876377</v>
      </c>
      <c r="J58" s="12"/>
      <c r="K58" s="12"/>
      <c r="L58" s="12">
        <v>33.016180241876377</v>
      </c>
      <c r="M58" s="12">
        <v>33.016180241876377</v>
      </c>
      <c r="N58" s="12"/>
      <c r="O58" s="12"/>
      <c r="P58" s="10" t="s">
        <v>168</v>
      </c>
      <c r="Q58" s="12">
        <v>23.77164977415099</v>
      </c>
      <c r="R58" s="12">
        <v>35.016180241876377</v>
      </c>
    </row>
    <row r="59" spans="1:18" ht="32.1" customHeight="1" x14ac:dyDescent="0.25">
      <c r="A59" s="10" t="s">
        <v>56</v>
      </c>
      <c r="B59" s="10" t="s">
        <v>58</v>
      </c>
      <c r="C59" s="10" t="s">
        <v>70</v>
      </c>
      <c r="D59" s="10" t="s">
        <v>64</v>
      </c>
      <c r="E59" s="10" t="s">
        <v>75</v>
      </c>
      <c r="F59" s="10" t="s">
        <v>170</v>
      </c>
      <c r="G59" s="11">
        <v>1</v>
      </c>
      <c r="H59" s="12">
        <v>1470.2319047068199</v>
      </c>
      <c r="I59" s="12">
        <v>1470.2319047068199</v>
      </c>
      <c r="J59" s="12"/>
      <c r="K59" s="12"/>
      <c r="L59" s="12">
        <v>1470.2319047068199</v>
      </c>
      <c r="M59" s="12">
        <v>1470.2319047068199</v>
      </c>
      <c r="N59" s="12"/>
      <c r="O59" s="12"/>
      <c r="P59" s="10" t="s">
        <v>168</v>
      </c>
      <c r="Q59" s="12"/>
      <c r="R59" s="12">
        <v>1472.2319047068199</v>
      </c>
    </row>
    <row r="60" spans="1:18" ht="32.1" customHeight="1" x14ac:dyDescent="0.25">
      <c r="A60" s="10" t="s">
        <v>56</v>
      </c>
      <c r="B60" s="10" t="s">
        <v>58</v>
      </c>
      <c r="C60" s="10" t="s">
        <v>70</v>
      </c>
      <c r="D60" s="10" t="s">
        <v>64</v>
      </c>
      <c r="E60" s="10" t="s">
        <v>75</v>
      </c>
      <c r="F60" s="10" t="s">
        <v>167</v>
      </c>
      <c r="G60" s="11">
        <v>7</v>
      </c>
      <c r="H60" s="12">
        <v>48.383729945028243</v>
      </c>
      <c r="I60" s="12">
        <v>42.545612600352563</v>
      </c>
      <c r="J60" s="12"/>
      <c r="K60" s="12"/>
      <c r="L60" s="12">
        <v>35.338746733340628</v>
      </c>
      <c r="M60" s="12">
        <v>82.845483815340245</v>
      </c>
      <c r="N60" s="12">
        <v>16.122345325028519</v>
      </c>
      <c r="O60" s="12">
        <v>0.33321832242669419</v>
      </c>
      <c r="P60" s="10" t="s">
        <v>168</v>
      </c>
      <c r="Q60" s="12">
        <v>34.836285560420343</v>
      </c>
      <c r="R60" s="12">
        <v>50.383729945028243</v>
      </c>
    </row>
    <row r="61" spans="1:18" ht="32.1" customHeight="1" x14ac:dyDescent="0.25">
      <c r="A61" s="10" t="s">
        <v>56</v>
      </c>
      <c r="B61" s="10" t="s">
        <v>58</v>
      </c>
      <c r="C61" s="10" t="s">
        <v>3</v>
      </c>
      <c r="D61" s="10" t="s">
        <v>62</v>
      </c>
      <c r="E61" s="10" t="s">
        <v>76</v>
      </c>
      <c r="F61" s="10" t="s">
        <v>167</v>
      </c>
      <c r="G61" s="11">
        <v>84</v>
      </c>
      <c r="H61" s="12">
        <v>125.6505482511044</v>
      </c>
      <c r="I61" s="12">
        <v>122.1757579877967</v>
      </c>
      <c r="J61" s="12">
        <v>207.87292649582369</v>
      </c>
      <c r="K61" s="12"/>
      <c r="L61" s="12">
        <v>50.189663306697867</v>
      </c>
      <c r="M61" s="12">
        <v>247.75923310815901</v>
      </c>
      <c r="N61" s="12">
        <v>43.937954572449549</v>
      </c>
      <c r="O61" s="12">
        <v>0.3496837473772294</v>
      </c>
      <c r="P61" s="10" t="s">
        <v>168</v>
      </c>
      <c r="Q61" s="12">
        <v>90.428169647525962</v>
      </c>
      <c r="R61" s="12">
        <v>127.6505482511043</v>
      </c>
    </row>
    <row r="62" spans="1:18" ht="32.1" customHeight="1" x14ac:dyDescent="0.25">
      <c r="A62" s="10" t="s">
        <v>56</v>
      </c>
      <c r="B62" s="10" t="s">
        <v>58</v>
      </c>
      <c r="C62" s="10" t="s">
        <v>3</v>
      </c>
      <c r="D62" s="10" t="s">
        <v>62</v>
      </c>
      <c r="E62" s="10" t="s">
        <v>76</v>
      </c>
      <c r="F62" s="10" t="s">
        <v>169</v>
      </c>
      <c r="G62" s="11">
        <v>2</v>
      </c>
      <c r="H62" s="12">
        <v>98.542768505691484</v>
      </c>
      <c r="I62" s="12">
        <v>98.542768505691484</v>
      </c>
      <c r="J62" s="12"/>
      <c r="K62" s="12"/>
      <c r="L62" s="12">
        <v>69.376035342107457</v>
      </c>
      <c r="M62" s="12">
        <v>127.7095016692755</v>
      </c>
      <c r="N62" s="12">
        <v>41.247989610057658</v>
      </c>
      <c r="O62" s="12">
        <v>0.41857956941483049</v>
      </c>
      <c r="P62" s="10" t="s">
        <v>168</v>
      </c>
      <c r="Q62" s="12">
        <v>70.950793324097873</v>
      </c>
      <c r="R62" s="12">
        <v>100.5427685056915</v>
      </c>
    </row>
    <row r="63" spans="1:18" ht="32.1" customHeight="1" x14ac:dyDescent="0.25">
      <c r="A63" s="10" t="s">
        <v>56</v>
      </c>
      <c r="B63" s="10" t="s">
        <v>58</v>
      </c>
      <c r="C63" s="10" t="s">
        <v>3</v>
      </c>
      <c r="D63" s="10" t="s">
        <v>62</v>
      </c>
      <c r="E63" s="10" t="s">
        <v>78</v>
      </c>
      <c r="F63" s="10" t="s">
        <v>167</v>
      </c>
      <c r="G63" s="11">
        <v>84</v>
      </c>
      <c r="H63" s="12">
        <v>121.99807785015339</v>
      </c>
      <c r="I63" s="12">
        <v>116.75423164495879</v>
      </c>
      <c r="J63" s="12">
        <v>186.91460550634849</v>
      </c>
      <c r="K63" s="12"/>
      <c r="L63" s="12">
        <v>55.733650824648542</v>
      </c>
      <c r="M63" s="12">
        <v>303.34957224810552</v>
      </c>
      <c r="N63" s="12">
        <v>37.208348854137832</v>
      </c>
      <c r="O63" s="12">
        <v>0.30499127125461561</v>
      </c>
      <c r="P63" s="10" t="s">
        <v>168</v>
      </c>
      <c r="Q63" s="12">
        <v>88.275402929953614</v>
      </c>
      <c r="R63" s="12">
        <v>123.99807785015339</v>
      </c>
    </row>
    <row r="64" spans="1:18" ht="32.1" customHeight="1" x14ac:dyDescent="0.25">
      <c r="A64" s="10" t="s">
        <v>56</v>
      </c>
      <c r="B64" s="10" t="s">
        <v>58</v>
      </c>
      <c r="C64" s="10" t="s">
        <v>3</v>
      </c>
      <c r="D64" s="10" t="s">
        <v>62</v>
      </c>
      <c r="E64" s="10" t="s">
        <v>78</v>
      </c>
      <c r="F64" s="10" t="s">
        <v>169</v>
      </c>
      <c r="G64" s="11">
        <v>4</v>
      </c>
      <c r="H64" s="12">
        <v>125.4285244090407</v>
      </c>
      <c r="I64" s="12">
        <v>131.3999719259929</v>
      </c>
      <c r="J64" s="12"/>
      <c r="K64" s="12"/>
      <c r="L64" s="12">
        <v>91.232576582335923</v>
      </c>
      <c r="M64" s="12">
        <v>147.68157720184101</v>
      </c>
      <c r="N64" s="12">
        <v>26.619598293488181</v>
      </c>
      <c r="O64" s="12">
        <v>0.21222922312852691</v>
      </c>
      <c r="P64" s="10" t="s">
        <v>168</v>
      </c>
      <c r="Q64" s="12">
        <v>92.226513284349195</v>
      </c>
      <c r="R64" s="12">
        <v>127.4285244090407</v>
      </c>
    </row>
    <row r="65" spans="1:18" ht="32.1" customHeight="1" x14ac:dyDescent="0.25">
      <c r="A65" s="10" t="s">
        <v>56</v>
      </c>
      <c r="B65" s="10" t="s">
        <v>58</v>
      </c>
      <c r="C65" s="10" t="s">
        <v>3</v>
      </c>
      <c r="D65" s="10" t="s">
        <v>62</v>
      </c>
      <c r="E65" s="10" t="s">
        <v>79</v>
      </c>
      <c r="F65" s="10" t="s">
        <v>167</v>
      </c>
      <c r="G65" s="11">
        <v>78</v>
      </c>
      <c r="H65" s="12">
        <v>188.8653810498574</v>
      </c>
      <c r="I65" s="12">
        <v>125.72513319422271</v>
      </c>
      <c r="J65" s="12">
        <v>250.91753995773371</v>
      </c>
      <c r="K65" s="12"/>
      <c r="L65" s="12">
        <v>62.713308559589059</v>
      </c>
      <c r="M65" s="12">
        <v>4169.9376280456236</v>
      </c>
      <c r="N65" s="12">
        <v>459.61814292177968</v>
      </c>
      <c r="O65" s="12">
        <v>2.4335753877543489</v>
      </c>
      <c r="P65" s="10" t="s">
        <v>168</v>
      </c>
      <c r="Q65" s="12">
        <v>141.09773063403011</v>
      </c>
      <c r="R65" s="12">
        <v>190.8653810498574</v>
      </c>
    </row>
    <row r="66" spans="1:18" ht="32.1" customHeight="1" x14ac:dyDescent="0.25">
      <c r="A66" s="10" t="s">
        <v>56</v>
      </c>
      <c r="B66" s="10" t="s">
        <v>58</v>
      </c>
      <c r="C66" s="10" t="s">
        <v>3</v>
      </c>
      <c r="D66" s="10" t="s">
        <v>62</v>
      </c>
      <c r="E66" s="10" t="s">
        <v>79</v>
      </c>
      <c r="F66" s="10" t="s">
        <v>169</v>
      </c>
      <c r="G66" s="11">
        <v>8</v>
      </c>
      <c r="H66" s="12">
        <v>143.06442172567091</v>
      </c>
      <c r="I66" s="12">
        <v>135.66852291182971</v>
      </c>
      <c r="J66" s="12"/>
      <c r="K66" s="12"/>
      <c r="L66" s="12">
        <v>78.242239655694007</v>
      </c>
      <c r="M66" s="12">
        <v>217.29812158962039</v>
      </c>
      <c r="N66" s="12">
        <v>42.787046045274622</v>
      </c>
      <c r="O66" s="12">
        <v>0.29907537827482839</v>
      </c>
      <c r="P66" s="10" t="s">
        <v>168</v>
      </c>
      <c r="Q66" s="12">
        <v>95.252774027086275</v>
      </c>
      <c r="R66" s="12">
        <v>145.06442172567091</v>
      </c>
    </row>
    <row r="67" spans="1:18" ht="32.1" customHeight="1" x14ac:dyDescent="0.25">
      <c r="A67" s="10" t="s">
        <v>56</v>
      </c>
      <c r="B67" s="10" t="s">
        <v>58</v>
      </c>
      <c r="C67" s="10" t="s">
        <v>3</v>
      </c>
      <c r="D67" s="10" t="s">
        <v>62</v>
      </c>
      <c r="E67" s="10" t="s">
        <v>80</v>
      </c>
      <c r="F67" s="10" t="s">
        <v>167</v>
      </c>
      <c r="G67" s="11">
        <v>97</v>
      </c>
      <c r="H67" s="12">
        <v>146.11948597334489</v>
      </c>
      <c r="I67" s="12">
        <v>119.02237579824239</v>
      </c>
      <c r="J67" s="12">
        <v>258.83811922322832</v>
      </c>
      <c r="K67" s="12"/>
      <c r="L67" s="12">
        <v>51.68938889196378</v>
      </c>
      <c r="M67" s="12">
        <v>1837.4750531197919</v>
      </c>
      <c r="N67" s="12">
        <v>182.02280857008839</v>
      </c>
      <c r="O67" s="12">
        <v>1.2457120784239071</v>
      </c>
      <c r="P67" s="10" t="s">
        <v>168</v>
      </c>
      <c r="Q67" s="12">
        <v>105.0401308430865</v>
      </c>
      <c r="R67" s="12">
        <v>148.11948597334489</v>
      </c>
    </row>
    <row r="68" spans="1:18" ht="32.1" customHeight="1" x14ac:dyDescent="0.25">
      <c r="A68" s="10" t="s">
        <v>56</v>
      </c>
      <c r="B68" s="10" t="s">
        <v>58</v>
      </c>
      <c r="C68" s="10" t="s">
        <v>3</v>
      </c>
      <c r="D68" s="10" t="s">
        <v>62</v>
      </c>
      <c r="E68" s="10" t="s">
        <v>80</v>
      </c>
      <c r="F68" s="10" t="s">
        <v>169</v>
      </c>
      <c r="G68" s="11">
        <v>6</v>
      </c>
      <c r="H68" s="12">
        <v>131.20814020272979</v>
      </c>
      <c r="I68" s="12">
        <v>103.8284568093662</v>
      </c>
      <c r="J68" s="12"/>
      <c r="K68" s="12"/>
      <c r="L68" s="12">
        <v>67.548610793811946</v>
      </c>
      <c r="M68" s="12">
        <v>223.95852585684099</v>
      </c>
      <c r="N68" s="12">
        <v>72.780967725524704</v>
      </c>
      <c r="O68" s="12">
        <v>0.55469856986823207</v>
      </c>
      <c r="P68" s="10" t="s">
        <v>168</v>
      </c>
      <c r="Q68" s="12">
        <v>103.4792329438956</v>
      </c>
      <c r="R68" s="12">
        <v>133.20814020272979</v>
      </c>
    </row>
    <row r="69" spans="1:18" ht="32.1" customHeight="1" x14ac:dyDescent="0.25">
      <c r="A69" s="10" t="s">
        <v>56</v>
      </c>
      <c r="B69" s="10" t="s">
        <v>58</v>
      </c>
      <c r="C69" s="10" t="s">
        <v>3</v>
      </c>
      <c r="D69" s="10" t="s">
        <v>62</v>
      </c>
      <c r="E69" s="10" t="s">
        <v>81</v>
      </c>
      <c r="F69" s="10" t="s">
        <v>167</v>
      </c>
      <c r="G69" s="11">
        <v>81</v>
      </c>
      <c r="H69" s="12">
        <v>123.07881321856919</v>
      </c>
      <c r="I69" s="12">
        <v>110.0191995417597</v>
      </c>
      <c r="J69" s="12">
        <v>211.21204288951921</v>
      </c>
      <c r="K69" s="12"/>
      <c r="L69" s="12">
        <v>52.957055273139488</v>
      </c>
      <c r="M69" s="12">
        <v>286.8398997361715</v>
      </c>
      <c r="N69" s="12">
        <v>49.738140731348757</v>
      </c>
      <c r="O69" s="12">
        <v>0.40411618726792081</v>
      </c>
      <c r="P69" s="10" t="s">
        <v>168</v>
      </c>
      <c r="Q69" s="12">
        <v>88.834953311541469</v>
      </c>
      <c r="R69" s="12">
        <v>125.07881321856919</v>
      </c>
    </row>
    <row r="70" spans="1:18" ht="32.1" customHeight="1" x14ac:dyDescent="0.25">
      <c r="A70" s="10" t="s">
        <v>56</v>
      </c>
      <c r="B70" s="10" t="s">
        <v>58</v>
      </c>
      <c r="C70" s="10" t="s">
        <v>3</v>
      </c>
      <c r="D70" s="10" t="s">
        <v>62</v>
      </c>
      <c r="E70" s="10" t="s">
        <v>81</v>
      </c>
      <c r="F70" s="10" t="s">
        <v>169</v>
      </c>
      <c r="G70" s="11">
        <v>3</v>
      </c>
      <c r="H70" s="12">
        <v>104.4341630009226</v>
      </c>
      <c r="I70" s="12">
        <v>98.374997331862801</v>
      </c>
      <c r="J70" s="12"/>
      <c r="K70" s="12"/>
      <c r="L70" s="12">
        <v>79.668399751006561</v>
      </c>
      <c r="M70" s="12">
        <v>135.25909191989851</v>
      </c>
      <c r="N70" s="12">
        <v>28.28632850703605</v>
      </c>
      <c r="O70" s="12">
        <v>0.27085321215037789</v>
      </c>
      <c r="P70" s="10" t="s">
        <v>168</v>
      </c>
      <c r="Q70" s="12">
        <v>75.192597360664266</v>
      </c>
      <c r="R70" s="12">
        <v>106.4341630009226</v>
      </c>
    </row>
    <row r="71" spans="1:18" ht="32.1" customHeight="1" x14ac:dyDescent="0.25">
      <c r="A71" s="10" t="s">
        <v>56</v>
      </c>
      <c r="B71" s="10" t="s">
        <v>58</v>
      </c>
      <c r="C71" s="10" t="s">
        <v>3</v>
      </c>
      <c r="D71" s="10" t="s">
        <v>62</v>
      </c>
      <c r="E71" s="10" t="s">
        <v>82</v>
      </c>
      <c r="F71" s="10" t="s">
        <v>167</v>
      </c>
      <c r="G71" s="11">
        <v>8</v>
      </c>
      <c r="H71" s="12">
        <v>152.27877980178951</v>
      </c>
      <c r="I71" s="12">
        <v>126.73907073437751</v>
      </c>
      <c r="J71" s="12"/>
      <c r="K71" s="12"/>
      <c r="L71" s="12">
        <v>95.180091186695918</v>
      </c>
      <c r="M71" s="12">
        <v>242.5996896633599</v>
      </c>
      <c r="N71" s="12">
        <v>62.959312665767243</v>
      </c>
      <c r="O71" s="12">
        <v>0.4134477091799455</v>
      </c>
      <c r="P71" s="10" t="s">
        <v>168</v>
      </c>
      <c r="Q71" s="12">
        <v>109.64072145728839</v>
      </c>
      <c r="R71" s="12">
        <v>154.27877980178951</v>
      </c>
    </row>
    <row r="72" spans="1:18" ht="32.1" customHeight="1" x14ac:dyDescent="0.25">
      <c r="A72" s="10" t="s">
        <v>56</v>
      </c>
      <c r="B72" s="10" t="s">
        <v>58</v>
      </c>
      <c r="C72" s="10" t="s">
        <v>3</v>
      </c>
      <c r="D72" s="10" t="s">
        <v>62</v>
      </c>
      <c r="E72" s="10" t="s">
        <v>82</v>
      </c>
      <c r="F72" s="10" t="s">
        <v>169</v>
      </c>
      <c r="G72" s="11">
        <v>2</v>
      </c>
      <c r="H72" s="12">
        <v>124.0856813328286</v>
      </c>
      <c r="I72" s="12">
        <v>124.0856813328286</v>
      </c>
      <c r="J72" s="12"/>
      <c r="K72" s="12"/>
      <c r="L72" s="12">
        <v>75.966213126169848</v>
      </c>
      <c r="M72" s="12">
        <v>172.20514953948751</v>
      </c>
      <c r="N72" s="12">
        <v>68.051204552037831</v>
      </c>
      <c r="O72" s="12">
        <v>0.548421089533349</v>
      </c>
      <c r="P72" s="10" t="s">
        <v>168</v>
      </c>
      <c r="Q72" s="12">
        <v>89.341690559636618</v>
      </c>
      <c r="R72" s="12">
        <v>126.0856813328286</v>
      </c>
    </row>
    <row r="73" spans="1:18" ht="32.1" customHeight="1" x14ac:dyDescent="0.25">
      <c r="A73" s="10" t="s">
        <v>56</v>
      </c>
      <c r="B73" s="10" t="s">
        <v>58</v>
      </c>
      <c r="C73" s="10" t="s">
        <v>3</v>
      </c>
      <c r="D73" s="10" t="s">
        <v>62</v>
      </c>
      <c r="E73" s="10" t="s">
        <v>84</v>
      </c>
      <c r="F73" s="10" t="s">
        <v>167</v>
      </c>
      <c r="G73" s="11">
        <v>5</v>
      </c>
      <c r="H73" s="12">
        <v>105.1916494003097</v>
      </c>
      <c r="I73" s="12">
        <v>75.794038611605004</v>
      </c>
      <c r="J73" s="12"/>
      <c r="K73" s="12"/>
      <c r="L73" s="12">
        <v>48.746480057076283</v>
      </c>
      <c r="M73" s="12">
        <v>192.82898971369281</v>
      </c>
      <c r="N73" s="12">
        <v>59.237574937240502</v>
      </c>
      <c r="O73" s="12">
        <v>0.56313951986635635</v>
      </c>
      <c r="P73" s="10" t="s">
        <v>168</v>
      </c>
      <c r="Q73" s="12">
        <v>75.737987568222991</v>
      </c>
      <c r="R73" s="12">
        <v>107.1916494003097</v>
      </c>
    </row>
    <row r="74" spans="1:18" ht="32.1" customHeight="1" x14ac:dyDescent="0.25">
      <c r="A74" s="10" t="s">
        <v>56</v>
      </c>
      <c r="B74" s="10" t="s">
        <v>58</v>
      </c>
      <c r="C74" s="10" t="s">
        <v>3</v>
      </c>
      <c r="D74" s="10" t="s">
        <v>62</v>
      </c>
      <c r="E74" s="10" t="s">
        <v>84</v>
      </c>
      <c r="F74" s="10" t="s">
        <v>169</v>
      </c>
      <c r="G74" s="11">
        <v>3</v>
      </c>
      <c r="H74" s="12">
        <v>84.668347137607597</v>
      </c>
      <c r="I74" s="12">
        <v>92.540431208792484</v>
      </c>
      <c r="J74" s="12"/>
      <c r="K74" s="12"/>
      <c r="L74" s="12">
        <v>64.009267263408617</v>
      </c>
      <c r="M74" s="12">
        <v>97.455342940621705</v>
      </c>
      <c r="N74" s="12">
        <v>18.059271172151941</v>
      </c>
      <c r="O74" s="12">
        <v>0.21329424492958429</v>
      </c>
      <c r="P74" s="10" t="s">
        <v>168</v>
      </c>
      <c r="Q74" s="12">
        <v>60.96120993907747</v>
      </c>
      <c r="R74" s="12">
        <v>86.668347137607611</v>
      </c>
    </row>
    <row r="75" spans="1:18" ht="32.1" customHeight="1" x14ac:dyDescent="0.25">
      <c r="A75" s="10" t="s">
        <v>56</v>
      </c>
      <c r="B75" s="10" t="s">
        <v>58</v>
      </c>
      <c r="C75" s="10" t="s">
        <v>3</v>
      </c>
      <c r="D75" s="10" t="s">
        <v>62</v>
      </c>
      <c r="E75" s="10" t="s">
        <v>85</v>
      </c>
      <c r="F75" s="10" t="s">
        <v>167</v>
      </c>
      <c r="G75" s="11">
        <v>7</v>
      </c>
      <c r="H75" s="12">
        <v>117.0401308614494</v>
      </c>
      <c r="I75" s="12">
        <v>104.39971275220459</v>
      </c>
      <c r="J75" s="12"/>
      <c r="K75" s="12"/>
      <c r="L75" s="12">
        <v>63.508656675591233</v>
      </c>
      <c r="M75" s="12">
        <v>222.9967537120335</v>
      </c>
      <c r="N75" s="12">
        <v>53.99884038604597</v>
      </c>
      <c r="O75" s="12">
        <v>0.46137030084124842</v>
      </c>
      <c r="P75" s="10" t="s">
        <v>168</v>
      </c>
      <c r="Q75" s="12">
        <v>84.268894220243538</v>
      </c>
      <c r="R75" s="12">
        <v>119.0401308614494</v>
      </c>
    </row>
    <row r="76" spans="1:18" ht="32.1" customHeight="1" x14ac:dyDescent="0.25">
      <c r="A76" s="10" t="s">
        <v>56</v>
      </c>
      <c r="B76" s="10" t="s">
        <v>58</v>
      </c>
      <c r="C76" s="10" t="s">
        <v>3</v>
      </c>
      <c r="D76" s="10" t="s">
        <v>62</v>
      </c>
      <c r="E76" s="10" t="s">
        <v>85</v>
      </c>
      <c r="F76" s="10" t="s">
        <v>169</v>
      </c>
      <c r="G76" s="11">
        <v>1</v>
      </c>
      <c r="H76" s="12">
        <v>66.438224871782268</v>
      </c>
      <c r="I76" s="12">
        <v>66.438224871782268</v>
      </c>
      <c r="J76" s="12"/>
      <c r="K76" s="12"/>
      <c r="L76" s="12">
        <v>66.438224871782268</v>
      </c>
      <c r="M76" s="12">
        <v>66.438224871782268</v>
      </c>
      <c r="N76" s="12"/>
      <c r="O76" s="12"/>
      <c r="P76" s="10" t="s">
        <v>168</v>
      </c>
      <c r="Q76" s="12">
        <v>47.83552190768323</v>
      </c>
      <c r="R76" s="12">
        <v>68.438224871782268</v>
      </c>
    </row>
    <row r="77" spans="1:18" ht="32.1" customHeight="1" x14ac:dyDescent="0.25">
      <c r="A77" s="10" t="s">
        <v>56</v>
      </c>
      <c r="B77" s="10" t="s">
        <v>58</v>
      </c>
      <c r="C77" s="10" t="s">
        <v>3</v>
      </c>
      <c r="D77" s="10" t="s">
        <v>62</v>
      </c>
      <c r="E77" s="10" t="s">
        <v>86</v>
      </c>
      <c r="F77" s="10" t="s">
        <v>167</v>
      </c>
      <c r="G77" s="11">
        <v>9</v>
      </c>
      <c r="H77" s="12">
        <v>163.1741701784473</v>
      </c>
      <c r="I77" s="12">
        <v>141.16562554928149</v>
      </c>
      <c r="J77" s="12"/>
      <c r="K77" s="12"/>
      <c r="L77" s="12">
        <v>107.72750662750531</v>
      </c>
      <c r="M77" s="12">
        <v>279.94223169061979</v>
      </c>
      <c r="N77" s="12">
        <v>59.550524078184047</v>
      </c>
      <c r="O77" s="12">
        <v>0.36495067824190303</v>
      </c>
      <c r="P77" s="10" t="s">
        <v>168</v>
      </c>
      <c r="Q77" s="12">
        <v>117.4854025284821</v>
      </c>
      <c r="R77" s="12">
        <v>165.1741701784473</v>
      </c>
    </row>
    <row r="78" spans="1:18" ht="32.1" customHeight="1" x14ac:dyDescent="0.25">
      <c r="A78" s="10" t="s">
        <v>56</v>
      </c>
      <c r="B78" s="10" t="s">
        <v>58</v>
      </c>
      <c r="C78" s="10" t="s">
        <v>3</v>
      </c>
      <c r="D78" s="10" t="s">
        <v>62</v>
      </c>
      <c r="E78" s="10" t="s">
        <v>87</v>
      </c>
      <c r="F78" s="10" t="s">
        <v>167</v>
      </c>
      <c r="G78" s="11">
        <v>13</v>
      </c>
      <c r="H78" s="12">
        <v>117.560715027654</v>
      </c>
      <c r="I78" s="12">
        <v>119.2020061720537</v>
      </c>
      <c r="J78" s="12"/>
      <c r="K78" s="12"/>
      <c r="L78" s="12">
        <v>68.897120335188646</v>
      </c>
      <c r="M78" s="12">
        <v>169.3516887291982</v>
      </c>
      <c r="N78" s="12">
        <v>30.6531193935826</v>
      </c>
      <c r="O78" s="12">
        <v>0.26074287985039901</v>
      </c>
      <c r="P78" s="10" t="s">
        <v>168</v>
      </c>
      <c r="Q78" s="12">
        <v>84.643714819910898</v>
      </c>
      <c r="R78" s="12">
        <v>119.560715027654</v>
      </c>
    </row>
    <row r="79" spans="1:18" ht="32.1" customHeight="1" x14ac:dyDescent="0.25">
      <c r="A79" s="10" t="s">
        <v>56</v>
      </c>
      <c r="B79" s="10" t="s">
        <v>58</v>
      </c>
      <c r="C79" s="10" t="s">
        <v>3</v>
      </c>
      <c r="D79" s="10" t="s">
        <v>62</v>
      </c>
      <c r="E79" s="10" t="s">
        <v>88</v>
      </c>
      <c r="F79" s="10" t="s">
        <v>167</v>
      </c>
      <c r="G79" s="11">
        <v>36</v>
      </c>
      <c r="H79" s="12">
        <v>135.24920792434361</v>
      </c>
      <c r="I79" s="12">
        <v>133.17465639763799</v>
      </c>
      <c r="J79" s="12">
        <v>216.38905991156301</v>
      </c>
      <c r="K79" s="12"/>
      <c r="L79" s="12">
        <v>48.583808754649539</v>
      </c>
      <c r="M79" s="12">
        <v>256.45266605514018</v>
      </c>
      <c r="N79" s="12">
        <v>45.968994258099087</v>
      </c>
      <c r="O79" s="12">
        <v>0.33988364858900671</v>
      </c>
      <c r="P79" s="10" t="s">
        <v>168</v>
      </c>
      <c r="Q79" s="12">
        <v>98.063721891840601</v>
      </c>
      <c r="R79" s="12">
        <v>137.24920792434361</v>
      </c>
    </row>
    <row r="80" spans="1:18" ht="32.1" customHeight="1" x14ac:dyDescent="0.25">
      <c r="A80" s="10" t="s">
        <v>56</v>
      </c>
      <c r="B80" s="10" t="s">
        <v>58</v>
      </c>
      <c r="C80" s="10" t="s">
        <v>3</v>
      </c>
      <c r="D80" s="10" t="s">
        <v>62</v>
      </c>
      <c r="E80" s="10" t="s">
        <v>89</v>
      </c>
      <c r="F80" s="10" t="s">
        <v>167</v>
      </c>
      <c r="G80" s="11">
        <v>34</v>
      </c>
      <c r="H80" s="12">
        <v>111.2874824613119</v>
      </c>
      <c r="I80" s="12">
        <v>105.31083550568719</v>
      </c>
      <c r="J80" s="12">
        <v>182.65961474064051</v>
      </c>
      <c r="K80" s="12"/>
      <c r="L80" s="12">
        <v>42.574950047060703</v>
      </c>
      <c r="M80" s="12">
        <v>227.0833374856243</v>
      </c>
      <c r="N80" s="12">
        <v>42.622083320587507</v>
      </c>
      <c r="O80" s="12">
        <v>0.38299081242497057</v>
      </c>
      <c r="P80" s="10" t="s">
        <v>168</v>
      </c>
      <c r="Q80" s="12">
        <v>81.422724861005378</v>
      </c>
      <c r="R80" s="12">
        <v>113.2874824613119</v>
      </c>
    </row>
    <row r="81" spans="1:18" ht="32.1" customHeight="1" x14ac:dyDescent="0.25">
      <c r="A81" s="10" t="s">
        <v>56</v>
      </c>
      <c r="B81" s="10" t="s">
        <v>58</v>
      </c>
      <c r="C81" s="10" t="s">
        <v>3</v>
      </c>
      <c r="D81" s="10" t="s">
        <v>62</v>
      </c>
      <c r="E81" s="10" t="s">
        <v>89</v>
      </c>
      <c r="F81" s="10" t="s">
        <v>169</v>
      </c>
      <c r="G81" s="11">
        <v>1</v>
      </c>
      <c r="H81" s="12">
        <v>118.144774573112</v>
      </c>
      <c r="I81" s="12">
        <v>118.144774573112</v>
      </c>
      <c r="J81" s="12"/>
      <c r="K81" s="12"/>
      <c r="L81" s="12">
        <v>118.144774573112</v>
      </c>
      <c r="M81" s="12">
        <v>118.144774573112</v>
      </c>
      <c r="N81" s="12"/>
      <c r="O81" s="12"/>
      <c r="P81" s="10" t="s">
        <v>168</v>
      </c>
      <c r="Q81" s="12">
        <v>85.064237692640674</v>
      </c>
      <c r="R81" s="12">
        <v>120.144774573112</v>
      </c>
    </row>
    <row r="82" spans="1:18" ht="32.1" customHeight="1" x14ac:dyDescent="0.25">
      <c r="A82" s="10" t="s">
        <v>56</v>
      </c>
      <c r="B82" s="10" t="s">
        <v>58</v>
      </c>
      <c r="C82" s="10" t="s">
        <v>3</v>
      </c>
      <c r="D82" s="10" t="s">
        <v>62</v>
      </c>
      <c r="E82" s="10" t="s">
        <v>90</v>
      </c>
      <c r="F82" s="10" t="s">
        <v>167</v>
      </c>
      <c r="G82" s="11">
        <v>23</v>
      </c>
      <c r="H82" s="12">
        <v>107.0765749339061</v>
      </c>
      <c r="I82" s="12">
        <v>87.940313322585553</v>
      </c>
      <c r="J82" s="12">
        <v>204.55117956076049</v>
      </c>
      <c r="K82" s="12"/>
      <c r="L82" s="12">
        <v>42.590487290815702</v>
      </c>
      <c r="M82" s="12">
        <v>242.44372024196079</v>
      </c>
      <c r="N82" s="12">
        <v>50.65358361453827</v>
      </c>
      <c r="O82" s="12">
        <v>0.4730594310268571</v>
      </c>
      <c r="P82" s="10" t="s">
        <v>168</v>
      </c>
      <c r="Q82" s="12">
        <v>77.095133952412397</v>
      </c>
      <c r="R82" s="12">
        <v>109.0765749339061</v>
      </c>
    </row>
    <row r="83" spans="1:18" ht="32.1" customHeight="1" x14ac:dyDescent="0.25">
      <c r="A83" s="10" t="s">
        <v>56</v>
      </c>
      <c r="B83" s="10" t="s">
        <v>58</v>
      </c>
      <c r="C83" s="10" t="s">
        <v>3</v>
      </c>
      <c r="D83" s="10" t="s">
        <v>62</v>
      </c>
      <c r="E83" s="10" t="s">
        <v>90</v>
      </c>
      <c r="F83" s="10" t="s">
        <v>169</v>
      </c>
      <c r="G83" s="11">
        <v>4</v>
      </c>
      <c r="H83" s="12">
        <v>87.18098659598131</v>
      </c>
      <c r="I83" s="12">
        <v>89.283048151210039</v>
      </c>
      <c r="J83" s="12"/>
      <c r="K83" s="12"/>
      <c r="L83" s="12">
        <v>68.284327649252845</v>
      </c>
      <c r="M83" s="12">
        <v>101.8735224322523</v>
      </c>
      <c r="N83" s="12">
        <v>15.90737071129243</v>
      </c>
      <c r="O83" s="12">
        <v>0.18246376110666421</v>
      </c>
      <c r="P83" s="10" t="s">
        <v>168</v>
      </c>
      <c r="Q83" s="12">
        <v>64.525780228062203</v>
      </c>
      <c r="R83" s="12">
        <v>89.18098659598131</v>
      </c>
    </row>
    <row r="84" spans="1:18" ht="32.1" customHeight="1" x14ac:dyDescent="0.25">
      <c r="A84" s="10" t="s">
        <v>56</v>
      </c>
      <c r="B84" s="10" t="s">
        <v>58</v>
      </c>
      <c r="C84" s="10" t="s">
        <v>3</v>
      </c>
      <c r="D84" s="10" t="s">
        <v>62</v>
      </c>
      <c r="E84" s="10" t="s">
        <v>91</v>
      </c>
      <c r="F84" s="10" t="s">
        <v>167</v>
      </c>
      <c r="G84" s="11">
        <v>36</v>
      </c>
      <c r="H84" s="12">
        <v>90.337291946736201</v>
      </c>
      <c r="I84" s="12">
        <v>84.640630351725846</v>
      </c>
      <c r="J84" s="12">
        <v>151.609081706458</v>
      </c>
      <c r="K84" s="12"/>
      <c r="L84" s="12">
        <v>30.914432084033511</v>
      </c>
      <c r="M84" s="12">
        <v>198.0138201329793</v>
      </c>
      <c r="N84" s="12">
        <v>35.662203968264002</v>
      </c>
      <c r="O84" s="12">
        <v>0.39476724616995168</v>
      </c>
      <c r="P84" s="10" t="s">
        <v>168</v>
      </c>
      <c r="Q84" s="12">
        <v>65.042850201650083</v>
      </c>
      <c r="R84" s="12">
        <v>92.337291946736215</v>
      </c>
    </row>
    <row r="85" spans="1:18" ht="32.1" customHeight="1" x14ac:dyDescent="0.25">
      <c r="A85" s="10" t="s">
        <v>56</v>
      </c>
      <c r="B85" s="10" t="s">
        <v>58</v>
      </c>
      <c r="C85" s="10" t="s">
        <v>3</v>
      </c>
      <c r="D85" s="10" t="s">
        <v>62</v>
      </c>
      <c r="E85" s="10" t="s">
        <v>91</v>
      </c>
      <c r="F85" s="10" t="s">
        <v>169</v>
      </c>
      <c r="G85" s="11">
        <v>1</v>
      </c>
      <c r="H85" s="12">
        <v>81.488080665304324</v>
      </c>
      <c r="I85" s="12">
        <v>81.488080665304324</v>
      </c>
      <c r="J85" s="12"/>
      <c r="K85" s="12"/>
      <c r="L85" s="12">
        <v>81.488080665304324</v>
      </c>
      <c r="M85" s="12">
        <v>81.488080665304324</v>
      </c>
      <c r="N85" s="12"/>
      <c r="O85" s="12"/>
      <c r="P85" s="10" t="s">
        <v>168</v>
      </c>
      <c r="Q85" s="12">
        <v>58.671418079019112</v>
      </c>
      <c r="R85" s="12">
        <v>83.488080665304324</v>
      </c>
    </row>
    <row r="86" spans="1:18" ht="32.1" customHeight="1" x14ac:dyDescent="0.25">
      <c r="A86" s="10" t="s">
        <v>56</v>
      </c>
      <c r="B86" s="10" t="s">
        <v>58</v>
      </c>
      <c r="C86" s="10" t="s">
        <v>3</v>
      </c>
      <c r="D86" s="10" t="s">
        <v>62</v>
      </c>
      <c r="E86" s="10" t="s">
        <v>92</v>
      </c>
      <c r="F86" s="10" t="s">
        <v>167</v>
      </c>
      <c r="G86" s="11">
        <v>40</v>
      </c>
      <c r="H86" s="12">
        <v>138.0397471311903</v>
      </c>
      <c r="I86" s="12">
        <v>95.220266356869644</v>
      </c>
      <c r="J86" s="12">
        <v>162.4325985496979</v>
      </c>
      <c r="K86" s="12"/>
      <c r="L86" s="12">
        <v>51.46338876119831</v>
      </c>
      <c r="M86" s="12">
        <v>1711.55340653948</v>
      </c>
      <c r="N86" s="12">
        <v>257.0705699569603</v>
      </c>
      <c r="O86" s="12">
        <v>1.862293834200127</v>
      </c>
      <c r="P86" s="10" t="s">
        <v>168</v>
      </c>
      <c r="Q86" s="12">
        <v>101.32130835133</v>
      </c>
      <c r="R86" s="12">
        <v>140.0397471311903</v>
      </c>
    </row>
    <row r="87" spans="1:18" ht="32.1" customHeight="1" x14ac:dyDescent="0.25">
      <c r="A87" s="10" t="s">
        <v>56</v>
      </c>
      <c r="B87" s="10" t="s">
        <v>58</v>
      </c>
      <c r="C87" s="10" t="s">
        <v>3</v>
      </c>
      <c r="D87" s="10" t="s">
        <v>62</v>
      </c>
      <c r="E87" s="10" t="s">
        <v>92</v>
      </c>
      <c r="F87" s="10" t="s">
        <v>169</v>
      </c>
      <c r="G87" s="11">
        <v>2</v>
      </c>
      <c r="H87" s="12">
        <v>78.320553565779221</v>
      </c>
      <c r="I87" s="12">
        <v>78.320553565779221</v>
      </c>
      <c r="J87" s="12"/>
      <c r="K87" s="12"/>
      <c r="L87" s="12">
        <v>34.0242762637195</v>
      </c>
      <c r="M87" s="12">
        <v>122.6168308678389</v>
      </c>
      <c r="N87" s="12">
        <v>62.644396123212339</v>
      </c>
      <c r="O87" s="12">
        <v>0.79984618687097353</v>
      </c>
      <c r="P87" s="10" t="s">
        <v>168</v>
      </c>
      <c r="Q87" s="12">
        <v>56.390798567361031</v>
      </c>
      <c r="R87" s="12">
        <v>80.320553565779207</v>
      </c>
    </row>
    <row r="88" spans="1:18" ht="32.1" customHeight="1" x14ac:dyDescent="0.25">
      <c r="A88" s="10" t="s">
        <v>56</v>
      </c>
      <c r="B88" s="10" t="s">
        <v>58</v>
      </c>
      <c r="C88" s="10" t="s">
        <v>3</v>
      </c>
      <c r="D88" s="10" t="s">
        <v>63</v>
      </c>
      <c r="E88" s="10" t="s">
        <v>76</v>
      </c>
      <c r="F88" s="10" t="s">
        <v>167</v>
      </c>
      <c r="G88" s="11">
        <v>606</v>
      </c>
      <c r="H88" s="12">
        <v>36.359736081296838</v>
      </c>
      <c r="I88" s="12">
        <v>33.223556663976368</v>
      </c>
      <c r="J88" s="12">
        <v>62.586606253265032</v>
      </c>
      <c r="K88" s="12"/>
      <c r="L88" s="12">
        <v>10.81340904100535</v>
      </c>
      <c r="M88" s="12">
        <v>349.71657030951241</v>
      </c>
      <c r="N88" s="12">
        <v>18.75656500637621</v>
      </c>
      <c r="O88" s="12">
        <v>0.51586086775873063</v>
      </c>
      <c r="P88" s="10" t="s">
        <v>168</v>
      </c>
      <c r="Q88" s="12">
        <v>26.3422538087245</v>
      </c>
      <c r="R88" s="12">
        <v>38.359736081296838</v>
      </c>
    </row>
    <row r="89" spans="1:18" ht="32.1" customHeight="1" x14ac:dyDescent="0.25">
      <c r="A89" s="10" t="s">
        <v>56</v>
      </c>
      <c r="B89" s="10" t="s">
        <v>58</v>
      </c>
      <c r="C89" s="10" t="s">
        <v>3</v>
      </c>
      <c r="D89" s="10" t="s">
        <v>63</v>
      </c>
      <c r="E89" s="10" t="s">
        <v>76</v>
      </c>
      <c r="F89" s="10" t="s">
        <v>169</v>
      </c>
      <c r="G89" s="11">
        <v>46</v>
      </c>
      <c r="H89" s="12">
        <v>82.808533405713149</v>
      </c>
      <c r="I89" s="12">
        <v>32.705532726940717</v>
      </c>
      <c r="J89" s="12">
        <v>397.80824066368518</v>
      </c>
      <c r="K89" s="12"/>
      <c r="L89" s="12">
        <v>16.323670468347391</v>
      </c>
      <c r="M89" s="12">
        <v>1213.6129955810479</v>
      </c>
      <c r="N89" s="12">
        <v>199.29487841336081</v>
      </c>
      <c r="O89" s="12">
        <v>2.406694940929976</v>
      </c>
      <c r="P89" s="10" t="s">
        <v>168</v>
      </c>
      <c r="Q89" s="12">
        <v>61.457933523014042</v>
      </c>
      <c r="R89" s="12">
        <v>84.808533405713149</v>
      </c>
    </row>
    <row r="90" spans="1:18" ht="32.1" customHeight="1" x14ac:dyDescent="0.25">
      <c r="A90" s="10" t="s">
        <v>56</v>
      </c>
      <c r="B90" s="10" t="s">
        <v>58</v>
      </c>
      <c r="C90" s="10" t="s">
        <v>3</v>
      </c>
      <c r="D90" s="10" t="s">
        <v>63</v>
      </c>
      <c r="E90" s="10" t="s">
        <v>78</v>
      </c>
      <c r="F90" s="10" t="s">
        <v>167</v>
      </c>
      <c r="G90" s="11">
        <v>600</v>
      </c>
      <c r="H90" s="12">
        <v>40.842609696765479</v>
      </c>
      <c r="I90" s="12">
        <v>37.220532197344284</v>
      </c>
      <c r="J90" s="12">
        <v>70.465276002323094</v>
      </c>
      <c r="K90" s="12"/>
      <c r="L90" s="12">
        <v>8.776700798848637</v>
      </c>
      <c r="M90" s="12">
        <v>730.52694296645973</v>
      </c>
      <c r="N90" s="12">
        <v>32.442824878425981</v>
      </c>
      <c r="O90" s="12">
        <v>0.79433770562891537</v>
      </c>
      <c r="P90" s="10" t="s">
        <v>168</v>
      </c>
      <c r="Q90" s="12">
        <v>29.4723245508426</v>
      </c>
      <c r="R90" s="12">
        <v>42.842609696765479</v>
      </c>
    </row>
    <row r="91" spans="1:18" ht="32.1" customHeight="1" x14ac:dyDescent="0.25">
      <c r="A91" s="10" t="s">
        <v>56</v>
      </c>
      <c r="B91" s="10" t="s">
        <v>58</v>
      </c>
      <c r="C91" s="10" t="s">
        <v>3</v>
      </c>
      <c r="D91" s="10" t="s">
        <v>63</v>
      </c>
      <c r="E91" s="10" t="s">
        <v>78</v>
      </c>
      <c r="F91" s="10" t="s">
        <v>169</v>
      </c>
      <c r="G91" s="11">
        <v>41</v>
      </c>
      <c r="H91" s="12">
        <v>36.688382589689702</v>
      </c>
      <c r="I91" s="12">
        <v>31.613397619070849</v>
      </c>
      <c r="J91" s="12">
        <v>67.372347833294938</v>
      </c>
      <c r="K91" s="12"/>
      <c r="L91" s="12">
        <v>19.73440311465043</v>
      </c>
      <c r="M91" s="12">
        <v>86.378788006001002</v>
      </c>
      <c r="N91" s="12">
        <v>15.595396348786659</v>
      </c>
      <c r="O91" s="12">
        <v>0.42507723829639021</v>
      </c>
      <c r="P91" s="10" t="s">
        <v>168</v>
      </c>
      <c r="Q91" s="12">
        <v>26.719041441523039</v>
      </c>
      <c r="R91" s="12">
        <v>38.688382589689702</v>
      </c>
    </row>
    <row r="92" spans="1:18" ht="32.1" customHeight="1" x14ac:dyDescent="0.25">
      <c r="A92" s="10" t="s">
        <v>56</v>
      </c>
      <c r="B92" s="10" t="s">
        <v>58</v>
      </c>
      <c r="C92" s="10" t="s">
        <v>3</v>
      </c>
      <c r="D92" s="10" t="s">
        <v>63</v>
      </c>
      <c r="E92" s="10" t="s">
        <v>79</v>
      </c>
      <c r="F92" s="10" t="s">
        <v>167</v>
      </c>
      <c r="G92" s="11">
        <v>609</v>
      </c>
      <c r="H92" s="12">
        <v>41.421249610020297</v>
      </c>
      <c r="I92" s="12">
        <v>36.962880980339989</v>
      </c>
      <c r="J92" s="12">
        <v>73.964371931782452</v>
      </c>
      <c r="K92" s="12"/>
      <c r="L92" s="12">
        <v>12.582858857038939</v>
      </c>
      <c r="M92" s="12">
        <v>687.03848495069758</v>
      </c>
      <c r="N92" s="12">
        <v>30.733749692785509</v>
      </c>
      <c r="O92" s="12">
        <v>0.74198026332239497</v>
      </c>
      <c r="P92" s="10" t="s">
        <v>168</v>
      </c>
      <c r="Q92" s="12">
        <v>30.05112382750076</v>
      </c>
      <c r="R92" s="12">
        <v>43.421249610020297</v>
      </c>
    </row>
    <row r="93" spans="1:18" ht="32.1" customHeight="1" x14ac:dyDescent="0.25">
      <c r="A93" s="10" t="s">
        <v>56</v>
      </c>
      <c r="B93" s="10" t="s">
        <v>58</v>
      </c>
      <c r="C93" s="10" t="s">
        <v>3</v>
      </c>
      <c r="D93" s="10" t="s">
        <v>63</v>
      </c>
      <c r="E93" s="10" t="s">
        <v>79</v>
      </c>
      <c r="F93" s="10" t="s">
        <v>169</v>
      </c>
      <c r="G93" s="11">
        <v>30</v>
      </c>
      <c r="H93" s="12">
        <v>40.41359479228641</v>
      </c>
      <c r="I93" s="12">
        <v>33.352540042253949</v>
      </c>
      <c r="J93" s="12">
        <v>76.275407977367379</v>
      </c>
      <c r="K93" s="12"/>
      <c r="L93" s="12">
        <v>20.791770961813899</v>
      </c>
      <c r="M93" s="12">
        <v>100.8867885358091</v>
      </c>
      <c r="N93" s="12">
        <v>19.20235771961509</v>
      </c>
      <c r="O93" s="12">
        <v>0.47514599525999518</v>
      </c>
      <c r="P93" s="10" t="s">
        <v>168</v>
      </c>
      <c r="Q93" s="12">
        <v>29.213907749727081</v>
      </c>
      <c r="R93" s="12">
        <v>42.41359479228641</v>
      </c>
    </row>
    <row r="94" spans="1:18" ht="32.1" customHeight="1" x14ac:dyDescent="0.25">
      <c r="A94" s="10" t="s">
        <v>56</v>
      </c>
      <c r="B94" s="10" t="s">
        <v>58</v>
      </c>
      <c r="C94" s="10" t="s">
        <v>3</v>
      </c>
      <c r="D94" s="10" t="s">
        <v>63</v>
      </c>
      <c r="E94" s="10" t="s">
        <v>80</v>
      </c>
      <c r="F94" s="10" t="s">
        <v>167</v>
      </c>
      <c r="G94" s="11">
        <v>571</v>
      </c>
      <c r="H94" s="12">
        <v>42.193273434364187</v>
      </c>
      <c r="I94" s="12">
        <v>36.459261134365462</v>
      </c>
      <c r="J94" s="12">
        <v>70.279340211442729</v>
      </c>
      <c r="K94" s="12"/>
      <c r="L94" s="12">
        <v>11.194452668788371</v>
      </c>
      <c r="M94" s="12">
        <v>619.84443071342901</v>
      </c>
      <c r="N94" s="12">
        <v>37.947466160331402</v>
      </c>
      <c r="O94" s="12">
        <v>0.89937241345738272</v>
      </c>
      <c r="P94" s="10" t="s">
        <v>168</v>
      </c>
      <c r="Q94" s="12">
        <v>30.57985999190721</v>
      </c>
      <c r="R94" s="12">
        <v>44.193273434364187</v>
      </c>
    </row>
    <row r="95" spans="1:18" ht="32.1" customHeight="1" x14ac:dyDescent="0.25">
      <c r="A95" s="10" t="s">
        <v>56</v>
      </c>
      <c r="B95" s="10" t="s">
        <v>58</v>
      </c>
      <c r="C95" s="10" t="s">
        <v>3</v>
      </c>
      <c r="D95" s="10" t="s">
        <v>63</v>
      </c>
      <c r="E95" s="10" t="s">
        <v>80</v>
      </c>
      <c r="F95" s="10" t="s">
        <v>169</v>
      </c>
      <c r="G95" s="11">
        <v>44</v>
      </c>
      <c r="H95" s="12">
        <v>42.140934657073323</v>
      </c>
      <c r="I95" s="12">
        <v>40.042884464184972</v>
      </c>
      <c r="J95" s="12">
        <v>76.88118753087609</v>
      </c>
      <c r="K95" s="12"/>
      <c r="L95" s="12">
        <v>20.668080355540511</v>
      </c>
      <c r="M95" s="12">
        <v>86.892506241463735</v>
      </c>
      <c r="N95" s="12">
        <v>15.93532262584651</v>
      </c>
      <c r="O95" s="12">
        <v>0.3781435498648052</v>
      </c>
      <c r="P95" s="10" t="s">
        <v>168</v>
      </c>
      <c r="Q95" s="12">
        <v>29.919406527595331</v>
      </c>
      <c r="R95" s="12">
        <v>44.140934657073323</v>
      </c>
    </row>
    <row r="96" spans="1:18" ht="32.1" customHeight="1" x14ac:dyDescent="0.25">
      <c r="A96" s="10" t="s">
        <v>56</v>
      </c>
      <c r="B96" s="10" t="s">
        <v>58</v>
      </c>
      <c r="C96" s="10" t="s">
        <v>3</v>
      </c>
      <c r="D96" s="10" t="s">
        <v>63</v>
      </c>
      <c r="E96" s="10" t="s">
        <v>81</v>
      </c>
      <c r="F96" s="10" t="s">
        <v>167</v>
      </c>
      <c r="G96" s="11">
        <v>583</v>
      </c>
      <c r="H96" s="12">
        <v>40.755485152240368</v>
      </c>
      <c r="I96" s="12">
        <v>36.933796407988098</v>
      </c>
      <c r="J96" s="12">
        <v>70.875693406908198</v>
      </c>
      <c r="K96" s="12"/>
      <c r="L96" s="12">
        <v>10.57325558920021</v>
      </c>
      <c r="M96" s="12">
        <v>713.14341516559057</v>
      </c>
      <c r="N96" s="12">
        <v>31.953437409674979</v>
      </c>
      <c r="O96" s="12">
        <v>0.78402789931991446</v>
      </c>
      <c r="P96" s="10" t="s">
        <v>168</v>
      </c>
      <c r="Q96" s="12">
        <v>29.286544421073241</v>
      </c>
      <c r="R96" s="12">
        <v>42.755485152240368</v>
      </c>
    </row>
    <row r="97" spans="1:18" ht="32.1" customHeight="1" x14ac:dyDescent="0.25">
      <c r="A97" s="10" t="s">
        <v>56</v>
      </c>
      <c r="B97" s="10" t="s">
        <v>58</v>
      </c>
      <c r="C97" s="10" t="s">
        <v>3</v>
      </c>
      <c r="D97" s="10" t="s">
        <v>63</v>
      </c>
      <c r="E97" s="10" t="s">
        <v>81</v>
      </c>
      <c r="F97" s="10" t="s">
        <v>169</v>
      </c>
      <c r="G97" s="11">
        <v>39</v>
      </c>
      <c r="H97" s="12">
        <v>37.303091316026801</v>
      </c>
      <c r="I97" s="12">
        <v>33.115538360448149</v>
      </c>
      <c r="J97" s="12">
        <v>62.37438745070564</v>
      </c>
      <c r="K97" s="12"/>
      <c r="L97" s="12">
        <v>13.99283995055441</v>
      </c>
      <c r="M97" s="12">
        <v>74.084835986170845</v>
      </c>
      <c r="N97" s="12">
        <v>14.15930640946392</v>
      </c>
      <c r="O97" s="12">
        <v>0.37957461191374658</v>
      </c>
      <c r="P97" s="10" t="s">
        <v>168</v>
      </c>
      <c r="Q97" s="12">
        <v>27.85288345320636</v>
      </c>
      <c r="R97" s="12">
        <v>39.303091316026801</v>
      </c>
    </row>
    <row r="98" spans="1:18" ht="32.1" customHeight="1" x14ac:dyDescent="0.25">
      <c r="A98" s="10" t="s">
        <v>56</v>
      </c>
      <c r="B98" s="10" t="s">
        <v>58</v>
      </c>
      <c r="C98" s="10" t="s">
        <v>3</v>
      </c>
      <c r="D98" s="10" t="s">
        <v>63</v>
      </c>
      <c r="E98" s="10" t="s">
        <v>82</v>
      </c>
      <c r="F98" s="10" t="s">
        <v>167</v>
      </c>
      <c r="G98" s="11">
        <v>57</v>
      </c>
      <c r="H98" s="12">
        <v>44.475387502557432</v>
      </c>
      <c r="I98" s="12">
        <v>39.309043391549586</v>
      </c>
      <c r="J98" s="12">
        <v>79.893777419090057</v>
      </c>
      <c r="K98" s="12"/>
      <c r="L98" s="12">
        <v>14.962856438577029</v>
      </c>
      <c r="M98" s="12">
        <v>148.03498633341661</v>
      </c>
      <c r="N98" s="12">
        <v>21.155165149080769</v>
      </c>
      <c r="O98" s="12">
        <v>0.47566005237985393</v>
      </c>
      <c r="P98" s="10" t="s">
        <v>168</v>
      </c>
      <c r="Q98" s="12">
        <v>32.252957464499943</v>
      </c>
      <c r="R98" s="12">
        <v>46.475387502557432</v>
      </c>
    </row>
    <row r="99" spans="1:18" ht="32.1" customHeight="1" x14ac:dyDescent="0.25">
      <c r="A99" s="10" t="s">
        <v>56</v>
      </c>
      <c r="B99" s="10" t="s">
        <v>58</v>
      </c>
      <c r="C99" s="10" t="s">
        <v>3</v>
      </c>
      <c r="D99" s="10" t="s">
        <v>63</v>
      </c>
      <c r="E99" s="10" t="s">
        <v>82</v>
      </c>
      <c r="F99" s="10" t="s">
        <v>169</v>
      </c>
      <c r="G99" s="11">
        <v>3</v>
      </c>
      <c r="H99" s="12">
        <v>36.523896231892799</v>
      </c>
      <c r="I99" s="12">
        <v>38.775376639918171</v>
      </c>
      <c r="J99" s="12"/>
      <c r="K99" s="12"/>
      <c r="L99" s="12">
        <v>28.156910143786011</v>
      </c>
      <c r="M99" s="12">
        <v>42.639401911974232</v>
      </c>
      <c r="N99" s="12">
        <v>7.4991676187895333</v>
      </c>
      <c r="O99" s="12">
        <v>0.20532222441923459</v>
      </c>
      <c r="P99" s="10" t="s">
        <v>168</v>
      </c>
      <c r="Q99" s="12">
        <v>26.297205286962821</v>
      </c>
      <c r="R99" s="12">
        <v>38.523896231892799</v>
      </c>
    </row>
    <row r="100" spans="1:18" ht="32.1" customHeight="1" x14ac:dyDescent="0.25">
      <c r="A100" s="10" t="s">
        <v>56</v>
      </c>
      <c r="B100" s="10" t="s">
        <v>58</v>
      </c>
      <c r="C100" s="10" t="s">
        <v>3</v>
      </c>
      <c r="D100" s="10" t="s">
        <v>63</v>
      </c>
      <c r="E100" s="10" t="s">
        <v>84</v>
      </c>
      <c r="F100" s="10" t="s">
        <v>167</v>
      </c>
      <c r="G100" s="11">
        <v>53</v>
      </c>
      <c r="H100" s="12">
        <v>35.162976463916621</v>
      </c>
      <c r="I100" s="12">
        <v>32.701582751693607</v>
      </c>
      <c r="J100" s="12">
        <v>64.684197302012947</v>
      </c>
      <c r="K100" s="12"/>
      <c r="L100" s="12">
        <v>16.787303141415659</v>
      </c>
      <c r="M100" s="12">
        <v>72.736588379020844</v>
      </c>
      <c r="N100" s="12">
        <v>13.84367459281952</v>
      </c>
      <c r="O100" s="12">
        <v>0.39370030597453992</v>
      </c>
      <c r="P100" s="10" t="s">
        <v>168</v>
      </c>
      <c r="Q100" s="12">
        <v>25.049860048994869</v>
      </c>
      <c r="R100" s="12">
        <v>37.162976463916621</v>
      </c>
    </row>
    <row r="101" spans="1:18" ht="32.1" customHeight="1" x14ac:dyDescent="0.25">
      <c r="A101" s="10" t="s">
        <v>56</v>
      </c>
      <c r="B101" s="10" t="s">
        <v>58</v>
      </c>
      <c r="C101" s="10" t="s">
        <v>3</v>
      </c>
      <c r="D101" s="10" t="s">
        <v>63</v>
      </c>
      <c r="E101" s="10" t="s">
        <v>84</v>
      </c>
      <c r="F101" s="10" t="s">
        <v>169</v>
      </c>
      <c r="G101" s="11">
        <v>3</v>
      </c>
      <c r="H101" s="12">
        <v>31.201599489593399</v>
      </c>
      <c r="I101" s="12">
        <v>35.316925452988208</v>
      </c>
      <c r="J101" s="12"/>
      <c r="K101" s="12"/>
      <c r="L101" s="12">
        <v>14.501743325655911</v>
      </c>
      <c r="M101" s="12">
        <v>43.786129690136079</v>
      </c>
      <c r="N101" s="12">
        <v>15.06969648084465</v>
      </c>
      <c r="O101" s="12">
        <v>0.48297833211630109</v>
      </c>
      <c r="P101" s="10" t="s">
        <v>168</v>
      </c>
      <c r="Q101" s="12">
        <v>22.46515163250724</v>
      </c>
      <c r="R101" s="12">
        <v>33.201599489593399</v>
      </c>
    </row>
    <row r="102" spans="1:18" ht="32.1" customHeight="1" x14ac:dyDescent="0.25">
      <c r="A102" s="10" t="s">
        <v>56</v>
      </c>
      <c r="B102" s="10" t="s">
        <v>58</v>
      </c>
      <c r="C102" s="10" t="s">
        <v>3</v>
      </c>
      <c r="D102" s="10" t="s">
        <v>63</v>
      </c>
      <c r="E102" s="10" t="s">
        <v>85</v>
      </c>
      <c r="F102" s="10" t="s">
        <v>167</v>
      </c>
      <c r="G102" s="11">
        <v>59</v>
      </c>
      <c r="H102" s="12">
        <v>37.219610435969109</v>
      </c>
      <c r="I102" s="12">
        <v>35.59304028576063</v>
      </c>
      <c r="J102" s="12">
        <v>67.968092741548347</v>
      </c>
      <c r="K102" s="12"/>
      <c r="L102" s="12">
        <v>8.5942333714024972</v>
      </c>
      <c r="M102" s="12">
        <v>91.615497644889345</v>
      </c>
      <c r="N102" s="12">
        <v>16.27824015642344</v>
      </c>
      <c r="O102" s="12">
        <v>0.43735654311663918</v>
      </c>
      <c r="P102" s="10" t="s">
        <v>168</v>
      </c>
      <c r="Q102" s="12">
        <v>26.435807354847832</v>
      </c>
      <c r="R102" s="12">
        <v>39.219610435969109</v>
      </c>
    </row>
    <row r="103" spans="1:18" ht="32.1" customHeight="1" x14ac:dyDescent="0.25">
      <c r="A103" s="10" t="s">
        <v>56</v>
      </c>
      <c r="B103" s="10" t="s">
        <v>58</v>
      </c>
      <c r="C103" s="10" t="s">
        <v>3</v>
      </c>
      <c r="D103" s="10" t="s">
        <v>63</v>
      </c>
      <c r="E103" s="10" t="s">
        <v>85</v>
      </c>
      <c r="F103" s="10" t="s">
        <v>169</v>
      </c>
      <c r="G103" s="11">
        <v>3</v>
      </c>
      <c r="H103" s="12">
        <v>44.220587153788671</v>
      </c>
      <c r="I103" s="12">
        <v>48.929675884254181</v>
      </c>
      <c r="J103" s="12"/>
      <c r="K103" s="12"/>
      <c r="L103" s="12">
        <v>34.226173170939767</v>
      </c>
      <c r="M103" s="12">
        <v>49.505912406172072</v>
      </c>
      <c r="N103" s="12">
        <v>8.6602104638237414</v>
      </c>
      <c r="O103" s="12">
        <v>0.19584114597360699</v>
      </c>
      <c r="P103" s="10" t="s">
        <v>168</v>
      </c>
      <c r="Q103" s="12">
        <v>31.838822750727839</v>
      </c>
      <c r="R103" s="12">
        <v>46.220587153788678</v>
      </c>
    </row>
    <row r="104" spans="1:18" ht="32.1" customHeight="1" x14ac:dyDescent="0.25">
      <c r="A104" s="10" t="s">
        <v>56</v>
      </c>
      <c r="B104" s="10" t="s">
        <v>58</v>
      </c>
      <c r="C104" s="10" t="s">
        <v>3</v>
      </c>
      <c r="D104" s="10" t="s">
        <v>63</v>
      </c>
      <c r="E104" s="10" t="s">
        <v>86</v>
      </c>
      <c r="F104" s="10" t="s">
        <v>167</v>
      </c>
      <c r="G104" s="11">
        <v>60</v>
      </c>
      <c r="H104" s="12">
        <v>36.501716829257681</v>
      </c>
      <c r="I104" s="12">
        <v>33.054331113890981</v>
      </c>
      <c r="J104" s="12">
        <v>59.618885010620573</v>
      </c>
      <c r="K104" s="12"/>
      <c r="L104" s="12">
        <v>11.38158351288855</v>
      </c>
      <c r="M104" s="12">
        <v>72.920509382861923</v>
      </c>
      <c r="N104" s="12">
        <v>13.71482073871813</v>
      </c>
      <c r="O104" s="12">
        <v>0.37573084035666843</v>
      </c>
      <c r="P104" s="10" t="s">
        <v>168</v>
      </c>
      <c r="Q104" s="12">
        <v>26.524445610753709</v>
      </c>
      <c r="R104" s="12">
        <v>38.501716829257681</v>
      </c>
    </row>
    <row r="105" spans="1:18" ht="32.1" customHeight="1" x14ac:dyDescent="0.25">
      <c r="A105" s="10" t="s">
        <v>56</v>
      </c>
      <c r="B105" s="10" t="s">
        <v>58</v>
      </c>
      <c r="C105" s="10" t="s">
        <v>3</v>
      </c>
      <c r="D105" s="10" t="s">
        <v>63</v>
      </c>
      <c r="E105" s="10" t="s">
        <v>86</v>
      </c>
      <c r="F105" s="10" t="s">
        <v>169</v>
      </c>
      <c r="G105" s="11">
        <v>4</v>
      </c>
      <c r="H105" s="12">
        <v>35.975267750961891</v>
      </c>
      <c r="I105" s="12">
        <v>35.125427400382847</v>
      </c>
      <c r="J105" s="12"/>
      <c r="K105" s="12"/>
      <c r="L105" s="12">
        <v>16.030605138172341</v>
      </c>
      <c r="M105" s="12">
        <v>57.619611064909492</v>
      </c>
      <c r="N105" s="12">
        <v>17.404999076866819</v>
      </c>
      <c r="O105" s="12">
        <v>0.48380457366857138</v>
      </c>
      <c r="P105" s="10" t="s">
        <v>168</v>
      </c>
      <c r="Q105" s="12">
        <v>25.902192780692559</v>
      </c>
      <c r="R105" s="12">
        <v>37.975267750961891</v>
      </c>
    </row>
    <row r="106" spans="1:18" ht="32.1" customHeight="1" x14ac:dyDescent="0.25">
      <c r="A106" s="10" t="s">
        <v>56</v>
      </c>
      <c r="B106" s="10" t="s">
        <v>58</v>
      </c>
      <c r="C106" s="10" t="s">
        <v>3</v>
      </c>
      <c r="D106" s="10" t="s">
        <v>63</v>
      </c>
      <c r="E106" s="10" t="s">
        <v>87</v>
      </c>
      <c r="F106" s="10" t="s">
        <v>167</v>
      </c>
      <c r="G106" s="11">
        <v>59</v>
      </c>
      <c r="H106" s="12">
        <v>34.120679301446962</v>
      </c>
      <c r="I106" s="12">
        <v>31.787960147139081</v>
      </c>
      <c r="J106" s="12">
        <v>55.780983989939962</v>
      </c>
      <c r="K106" s="12"/>
      <c r="L106" s="12">
        <v>13.84165433258811</v>
      </c>
      <c r="M106" s="12">
        <v>68.339289238959495</v>
      </c>
      <c r="N106" s="12">
        <v>12.329311182644121</v>
      </c>
      <c r="O106" s="12">
        <v>0.36134424739079768</v>
      </c>
      <c r="P106" s="10" t="s">
        <v>168</v>
      </c>
      <c r="Q106" s="12">
        <v>24.310526492742071</v>
      </c>
      <c r="R106" s="12">
        <v>36.120679301446962</v>
      </c>
    </row>
    <row r="107" spans="1:18" ht="32.1" customHeight="1" x14ac:dyDescent="0.25">
      <c r="A107" s="10" t="s">
        <v>56</v>
      </c>
      <c r="B107" s="10" t="s">
        <v>58</v>
      </c>
      <c r="C107" s="10" t="s">
        <v>3</v>
      </c>
      <c r="D107" s="10" t="s">
        <v>63</v>
      </c>
      <c r="E107" s="10" t="s">
        <v>87</v>
      </c>
      <c r="F107" s="10" t="s">
        <v>169</v>
      </c>
      <c r="G107" s="11">
        <v>3</v>
      </c>
      <c r="H107" s="12">
        <v>32.78706044261407</v>
      </c>
      <c r="I107" s="12">
        <v>26.07445265775134</v>
      </c>
      <c r="J107" s="12"/>
      <c r="K107" s="12"/>
      <c r="L107" s="12">
        <v>19.56155596516275</v>
      </c>
      <c r="M107" s="12">
        <v>52.72517270492812</v>
      </c>
      <c r="N107" s="12">
        <v>17.571303203535059</v>
      </c>
      <c r="O107" s="12">
        <v>0.53592188400937713</v>
      </c>
      <c r="P107" s="10" t="s">
        <v>168</v>
      </c>
      <c r="Q107" s="12">
        <v>23.606683518682129</v>
      </c>
      <c r="R107" s="12">
        <v>34.78706044261407</v>
      </c>
    </row>
    <row r="108" spans="1:18" ht="32.1" customHeight="1" x14ac:dyDescent="0.25">
      <c r="A108" s="10" t="s">
        <v>56</v>
      </c>
      <c r="B108" s="10" t="s">
        <v>58</v>
      </c>
      <c r="C108" s="10" t="s">
        <v>3</v>
      </c>
      <c r="D108" s="10" t="s">
        <v>63</v>
      </c>
      <c r="E108" s="10" t="s">
        <v>88</v>
      </c>
      <c r="F108" s="10" t="s">
        <v>167</v>
      </c>
      <c r="G108" s="11">
        <v>238</v>
      </c>
      <c r="H108" s="12">
        <v>45.322187579916431</v>
      </c>
      <c r="I108" s="12">
        <v>40.138704605723618</v>
      </c>
      <c r="J108" s="12">
        <v>83.342937980079441</v>
      </c>
      <c r="K108" s="12"/>
      <c r="L108" s="12">
        <v>15.58819548270702</v>
      </c>
      <c r="M108" s="12">
        <v>455.16879738218807</v>
      </c>
      <c r="N108" s="12">
        <v>31.95161640156714</v>
      </c>
      <c r="O108" s="12">
        <v>0.70498839768550403</v>
      </c>
      <c r="P108" s="10" t="s">
        <v>168</v>
      </c>
      <c r="Q108" s="12">
        <v>32.792373671605432</v>
      </c>
      <c r="R108" s="12">
        <v>47.322187579916431</v>
      </c>
    </row>
    <row r="109" spans="1:18" ht="32.1" customHeight="1" x14ac:dyDescent="0.25">
      <c r="A109" s="10" t="s">
        <v>56</v>
      </c>
      <c r="B109" s="10" t="s">
        <v>58</v>
      </c>
      <c r="C109" s="10" t="s">
        <v>3</v>
      </c>
      <c r="D109" s="10" t="s">
        <v>63</v>
      </c>
      <c r="E109" s="10" t="s">
        <v>88</v>
      </c>
      <c r="F109" s="10" t="s">
        <v>169</v>
      </c>
      <c r="G109" s="11">
        <v>9</v>
      </c>
      <c r="H109" s="12">
        <v>35.65780728924517</v>
      </c>
      <c r="I109" s="12">
        <v>35.634038074221557</v>
      </c>
      <c r="J109" s="12"/>
      <c r="K109" s="12"/>
      <c r="L109" s="12">
        <v>26.912282193158621</v>
      </c>
      <c r="M109" s="12">
        <v>56.507651280317127</v>
      </c>
      <c r="N109" s="12">
        <v>8.9465609648044424</v>
      </c>
      <c r="O109" s="12">
        <v>0.25090048000519749</v>
      </c>
      <c r="P109" s="10" t="s">
        <v>168</v>
      </c>
      <c r="Q109" s="12">
        <v>25.67362124825652</v>
      </c>
      <c r="R109" s="12">
        <v>37.65780728924517</v>
      </c>
    </row>
    <row r="110" spans="1:18" ht="32.1" customHeight="1" x14ac:dyDescent="0.25">
      <c r="A110" s="10" t="s">
        <v>56</v>
      </c>
      <c r="B110" s="10" t="s">
        <v>58</v>
      </c>
      <c r="C110" s="10" t="s">
        <v>3</v>
      </c>
      <c r="D110" s="10" t="s">
        <v>63</v>
      </c>
      <c r="E110" s="10" t="s">
        <v>89</v>
      </c>
      <c r="F110" s="10" t="s">
        <v>167</v>
      </c>
      <c r="G110" s="11">
        <v>236</v>
      </c>
      <c r="H110" s="12">
        <v>36.431464180584307</v>
      </c>
      <c r="I110" s="12">
        <v>34.430804451821267</v>
      </c>
      <c r="J110" s="12">
        <v>59.402230944561282</v>
      </c>
      <c r="K110" s="12"/>
      <c r="L110" s="12">
        <v>12.01137976211303</v>
      </c>
      <c r="M110" s="12">
        <v>113.8608693598584</v>
      </c>
      <c r="N110" s="12">
        <v>13.74201737309895</v>
      </c>
      <c r="O110" s="12">
        <v>0.37720189627795919</v>
      </c>
      <c r="P110" s="10" t="s">
        <v>168</v>
      </c>
      <c r="Q110" s="12">
        <v>26.299744963550431</v>
      </c>
      <c r="R110" s="12">
        <v>38.431464180584307</v>
      </c>
    </row>
    <row r="111" spans="1:18" ht="32.1" customHeight="1" x14ac:dyDescent="0.25">
      <c r="A111" s="10" t="s">
        <v>56</v>
      </c>
      <c r="B111" s="10" t="s">
        <v>58</v>
      </c>
      <c r="C111" s="10" t="s">
        <v>3</v>
      </c>
      <c r="D111" s="10" t="s">
        <v>63</v>
      </c>
      <c r="E111" s="10" t="s">
        <v>89</v>
      </c>
      <c r="F111" s="10" t="s">
        <v>169</v>
      </c>
      <c r="G111" s="11">
        <v>20</v>
      </c>
      <c r="H111" s="12">
        <v>36.635791923495347</v>
      </c>
      <c r="I111" s="12">
        <v>36.592049766986378</v>
      </c>
      <c r="J111" s="12">
        <v>50.448235939878657</v>
      </c>
      <c r="K111" s="12"/>
      <c r="L111" s="12">
        <v>19.086196885287709</v>
      </c>
      <c r="M111" s="12">
        <v>56.418684651947792</v>
      </c>
      <c r="N111" s="12">
        <v>9.8860011512138914</v>
      </c>
      <c r="O111" s="12">
        <v>0.26984543344547651</v>
      </c>
      <c r="P111" s="10" t="s">
        <v>168</v>
      </c>
      <c r="Q111" s="12">
        <v>26.713806723509329</v>
      </c>
      <c r="R111" s="12">
        <v>38.635791923495347</v>
      </c>
    </row>
    <row r="112" spans="1:18" ht="32.1" customHeight="1" x14ac:dyDescent="0.25">
      <c r="A112" s="10" t="s">
        <v>56</v>
      </c>
      <c r="B112" s="10" t="s">
        <v>58</v>
      </c>
      <c r="C112" s="10" t="s">
        <v>3</v>
      </c>
      <c r="D112" s="10" t="s">
        <v>63</v>
      </c>
      <c r="E112" s="10" t="s">
        <v>90</v>
      </c>
      <c r="F112" s="10" t="s">
        <v>167</v>
      </c>
      <c r="G112" s="11">
        <v>257</v>
      </c>
      <c r="H112" s="12">
        <v>34.168805997688203</v>
      </c>
      <c r="I112" s="12">
        <v>29.735093661334091</v>
      </c>
      <c r="J112" s="12">
        <v>58.108146765014197</v>
      </c>
      <c r="K112" s="12"/>
      <c r="L112" s="12">
        <v>13.67582436682032</v>
      </c>
      <c r="M112" s="12">
        <v>491.34763627991691</v>
      </c>
      <c r="N112" s="12">
        <v>31.686643590813379</v>
      </c>
      <c r="O112" s="12">
        <v>0.92735589276831176</v>
      </c>
      <c r="P112" s="10" t="s">
        <v>168</v>
      </c>
      <c r="Q112" s="12">
        <v>23.384081395776839</v>
      </c>
      <c r="R112" s="12">
        <v>36.168805997688189</v>
      </c>
    </row>
    <row r="113" spans="1:18" ht="32.1" customHeight="1" x14ac:dyDescent="0.25">
      <c r="A113" s="10" t="s">
        <v>56</v>
      </c>
      <c r="B113" s="10" t="s">
        <v>58</v>
      </c>
      <c r="C113" s="10" t="s">
        <v>3</v>
      </c>
      <c r="D113" s="10" t="s">
        <v>63</v>
      </c>
      <c r="E113" s="10" t="s">
        <v>90</v>
      </c>
      <c r="F113" s="10" t="s">
        <v>169</v>
      </c>
      <c r="G113" s="11">
        <v>13</v>
      </c>
      <c r="H113" s="12">
        <v>32.680556041998692</v>
      </c>
      <c r="I113" s="12">
        <v>33.678086820953403</v>
      </c>
      <c r="J113" s="12"/>
      <c r="K113" s="12"/>
      <c r="L113" s="12">
        <v>14.25103051449366</v>
      </c>
      <c r="M113" s="12">
        <v>58.723801696244152</v>
      </c>
      <c r="N113" s="12">
        <v>13.80976970551848</v>
      </c>
      <c r="O113" s="12">
        <v>0.42256838248930528</v>
      </c>
      <c r="P113" s="10" t="s">
        <v>168</v>
      </c>
      <c r="Q113" s="12">
        <v>24.453260083949662</v>
      </c>
      <c r="R113" s="12">
        <v>34.680556041998692</v>
      </c>
    </row>
    <row r="114" spans="1:18" ht="32.1" customHeight="1" x14ac:dyDescent="0.25">
      <c r="A114" s="10" t="s">
        <v>56</v>
      </c>
      <c r="B114" s="10" t="s">
        <v>58</v>
      </c>
      <c r="C114" s="10" t="s">
        <v>3</v>
      </c>
      <c r="D114" s="10" t="s">
        <v>63</v>
      </c>
      <c r="E114" s="10" t="s">
        <v>91</v>
      </c>
      <c r="F114" s="10" t="s">
        <v>167</v>
      </c>
      <c r="G114" s="11">
        <v>234</v>
      </c>
      <c r="H114" s="12">
        <v>31.80403909051773</v>
      </c>
      <c r="I114" s="12">
        <v>28.128799422705882</v>
      </c>
      <c r="J114" s="12">
        <v>52.445135749905951</v>
      </c>
      <c r="K114" s="12"/>
      <c r="L114" s="12">
        <v>10.796343299804169</v>
      </c>
      <c r="M114" s="12">
        <v>401.79983675152391</v>
      </c>
      <c r="N114" s="12">
        <v>27.453460107623211</v>
      </c>
      <c r="O114" s="12">
        <v>0.86320671501779067</v>
      </c>
      <c r="P114" s="10" t="s">
        <v>168</v>
      </c>
      <c r="Q114" s="12">
        <v>22.989073451066311</v>
      </c>
      <c r="R114" s="12">
        <v>33.804039090517733</v>
      </c>
    </row>
    <row r="115" spans="1:18" ht="32.1" customHeight="1" x14ac:dyDescent="0.25">
      <c r="A115" s="10" t="s">
        <v>56</v>
      </c>
      <c r="B115" s="10" t="s">
        <v>58</v>
      </c>
      <c r="C115" s="10" t="s">
        <v>3</v>
      </c>
      <c r="D115" s="10" t="s">
        <v>63</v>
      </c>
      <c r="E115" s="10" t="s">
        <v>91</v>
      </c>
      <c r="F115" s="10" t="s">
        <v>169</v>
      </c>
      <c r="G115" s="11">
        <v>21</v>
      </c>
      <c r="H115" s="12">
        <v>30.52622976720928</v>
      </c>
      <c r="I115" s="12">
        <v>26.895574832617971</v>
      </c>
      <c r="J115" s="12">
        <v>51.546142148991727</v>
      </c>
      <c r="K115" s="12"/>
      <c r="L115" s="12">
        <v>16.17932265736269</v>
      </c>
      <c r="M115" s="12">
        <v>59.314177930841034</v>
      </c>
      <c r="N115" s="12">
        <v>12.6372945294475</v>
      </c>
      <c r="O115" s="12">
        <v>0.41398150462138789</v>
      </c>
      <c r="P115" s="10" t="s">
        <v>168</v>
      </c>
      <c r="Q115" s="12">
        <v>22.249582747747841</v>
      </c>
      <c r="R115" s="12">
        <v>32.52622976720928</v>
      </c>
    </row>
    <row r="116" spans="1:18" ht="32.1" customHeight="1" x14ac:dyDescent="0.25">
      <c r="A116" s="10" t="s">
        <v>56</v>
      </c>
      <c r="B116" s="10" t="s">
        <v>58</v>
      </c>
      <c r="C116" s="10" t="s">
        <v>3</v>
      </c>
      <c r="D116" s="10" t="s">
        <v>63</v>
      </c>
      <c r="E116" s="10" t="s">
        <v>92</v>
      </c>
      <c r="F116" s="10" t="s">
        <v>167</v>
      </c>
      <c r="G116" s="11">
        <v>244</v>
      </c>
      <c r="H116" s="12">
        <v>34.488682633390248</v>
      </c>
      <c r="I116" s="12">
        <v>32.034732414973718</v>
      </c>
      <c r="J116" s="12">
        <v>61.45935982099536</v>
      </c>
      <c r="K116" s="12"/>
      <c r="L116" s="12">
        <v>12.194917822354061</v>
      </c>
      <c r="M116" s="12">
        <v>89.44252993578975</v>
      </c>
      <c r="N116" s="12">
        <v>13.60990463922759</v>
      </c>
      <c r="O116" s="12">
        <v>0.39461944035088042</v>
      </c>
      <c r="P116" s="10" t="s">
        <v>168</v>
      </c>
      <c r="Q116" s="12">
        <v>25.037055051480671</v>
      </c>
      <c r="R116" s="12">
        <v>36.488682633390248</v>
      </c>
    </row>
    <row r="117" spans="1:18" ht="32.1" customHeight="1" x14ac:dyDescent="0.25">
      <c r="A117" s="10" t="s">
        <v>56</v>
      </c>
      <c r="B117" s="10" t="s">
        <v>58</v>
      </c>
      <c r="C117" s="10" t="s">
        <v>3</v>
      </c>
      <c r="D117" s="10" t="s">
        <v>63</v>
      </c>
      <c r="E117" s="10" t="s">
        <v>92</v>
      </c>
      <c r="F117" s="10" t="s">
        <v>169</v>
      </c>
      <c r="G117" s="11">
        <v>15</v>
      </c>
      <c r="H117" s="12">
        <v>32.859336561248597</v>
      </c>
      <c r="I117" s="12">
        <v>31.011911680102731</v>
      </c>
      <c r="J117" s="12"/>
      <c r="K117" s="12"/>
      <c r="L117" s="12">
        <v>15.385031183694981</v>
      </c>
      <c r="M117" s="12">
        <v>60.685359225819603</v>
      </c>
      <c r="N117" s="12">
        <v>11.73053098329528</v>
      </c>
      <c r="O117" s="12">
        <v>0.35699232580152668</v>
      </c>
      <c r="P117" s="10" t="s">
        <v>168</v>
      </c>
      <c r="Q117" s="12">
        <v>23.39637680732201</v>
      </c>
      <c r="R117" s="12">
        <v>34.859336561248597</v>
      </c>
    </row>
    <row r="118" spans="1:18" ht="32.1" customHeight="1" x14ac:dyDescent="0.25">
      <c r="A118" s="10" t="s">
        <v>56</v>
      </c>
      <c r="B118" s="10" t="s">
        <v>58</v>
      </c>
      <c r="C118" s="10" t="s">
        <v>3</v>
      </c>
      <c r="D118" s="10" t="s">
        <v>64</v>
      </c>
      <c r="E118" s="10" t="s">
        <v>76</v>
      </c>
      <c r="F118" s="10" t="s">
        <v>167</v>
      </c>
      <c r="G118" s="11">
        <v>153</v>
      </c>
      <c r="H118" s="12">
        <v>55.684928090484043</v>
      </c>
      <c r="I118" s="12">
        <v>51.994085051964028</v>
      </c>
      <c r="J118" s="12">
        <v>89.981069439693243</v>
      </c>
      <c r="K118" s="12"/>
      <c r="L118" s="12">
        <v>18.33485786368265</v>
      </c>
      <c r="M118" s="12">
        <v>156.86884364895209</v>
      </c>
      <c r="N118" s="12">
        <v>20.979093922481599</v>
      </c>
      <c r="O118" s="12">
        <v>0.37674635923731581</v>
      </c>
      <c r="P118" s="10" t="s">
        <v>168</v>
      </c>
      <c r="Q118" s="12">
        <v>40.240095290928522</v>
      </c>
      <c r="R118" s="12">
        <v>57.684928090484043</v>
      </c>
    </row>
    <row r="119" spans="1:18" ht="32.1" customHeight="1" x14ac:dyDescent="0.25">
      <c r="A119" s="10" t="s">
        <v>56</v>
      </c>
      <c r="B119" s="10" t="s">
        <v>58</v>
      </c>
      <c r="C119" s="10" t="s">
        <v>3</v>
      </c>
      <c r="D119" s="10" t="s">
        <v>64</v>
      </c>
      <c r="E119" s="10" t="s">
        <v>76</v>
      </c>
      <c r="F119" s="10" t="s">
        <v>169</v>
      </c>
      <c r="G119" s="11">
        <v>9</v>
      </c>
      <c r="H119" s="12">
        <v>67.007454957007099</v>
      </c>
      <c r="I119" s="12">
        <v>62.511970595931153</v>
      </c>
      <c r="J119" s="12"/>
      <c r="K119" s="12"/>
      <c r="L119" s="12">
        <v>41.499708922030138</v>
      </c>
      <c r="M119" s="12">
        <v>116.5340023190092</v>
      </c>
      <c r="N119" s="12">
        <v>23.46325428688148</v>
      </c>
      <c r="O119" s="12">
        <v>0.35015886369562649</v>
      </c>
      <c r="P119" s="10" t="s">
        <v>168</v>
      </c>
      <c r="Q119" s="12">
        <v>48.245367569045108</v>
      </c>
      <c r="R119" s="12">
        <v>69.007454957007113</v>
      </c>
    </row>
    <row r="120" spans="1:18" ht="32.1" customHeight="1" x14ac:dyDescent="0.25">
      <c r="A120" s="10" t="s">
        <v>56</v>
      </c>
      <c r="B120" s="10" t="s">
        <v>58</v>
      </c>
      <c r="C120" s="10" t="s">
        <v>3</v>
      </c>
      <c r="D120" s="10" t="s">
        <v>64</v>
      </c>
      <c r="E120" s="10" t="s">
        <v>78</v>
      </c>
      <c r="F120" s="10" t="s">
        <v>167</v>
      </c>
      <c r="G120" s="11">
        <v>155</v>
      </c>
      <c r="H120" s="12">
        <v>60.820100693687849</v>
      </c>
      <c r="I120" s="12">
        <v>57.70016457886409</v>
      </c>
      <c r="J120" s="12">
        <v>103.6989517139875</v>
      </c>
      <c r="K120" s="12"/>
      <c r="L120" s="12">
        <v>19.832542350622319</v>
      </c>
      <c r="M120" s="12">
        <v>151.4795003942462</v>
      </c>
      <c r="N120" s="12">
        <v>22.54453936704509</v>
      </c>
      <c r="O120" s="12">
        <v>0.37067579813107487</v>
      </c>
      <c r="P120" s="10" t="s">
        <v>168</v>
      </c>
      <c r="Q120" s="12">
        <v>43.540973452921698</v>
      </c>
      <c r="R120" s="12">
        <v>62.820100693687849</v>
      </c>
    </row>
    <row r="121" spans="1:18" ht="32.1" customHeight="1" x14ac:dyDescent="0.25">
      <c r="A121" s="10" t="s">
        <v>56</v>
      </c>
      <c r="B121" s="10" t="s">
        <v>58</v>
      </c>
      <c r="C121" s="10" t="s">
        <v>3</v>
      </c>
      <c r="D121" s="10" t="s">
        <v>64</v>
      </c>
      <c r="E121" s="10" t="s">
        <v>78</v>
      </c>
      <c r="F121" s="10" t="s">
        <v>169</v>
      </c>
      <c r="G121" s="11">
        <v>16</v>
      </c>
      <c r="H121" s="12">
        <v>57.113834309538042</v>
      </c>
      <c r="I121" s="12">
        <v>51.118493625459408</v>
      </c>
      <c r="J121" s="12"/>
      <c r="K121" s="12"/>
      <c r="L121" s="12">
        <v>33.449920193475513</v>
      </c>
      <c r="M121" s="12">
        <v>91.929476735319923</v>
      </c>
      <c r="N121" s="12">
        <v>18.162757784469431</v>
      </c>
      <c r="O121" s="12">
        <v>0.31800977826201099</v>
      </c>
      <c r="P121" s="10" t="s">
        <v>168</v>
      </c>
      <c r="Q121" s="12">
        <v>41.121960702867383</v>
      </c>
      <c r="R121" s="12">
        <v>59.113834309538042</v>
      </c>
    </row>
    <row r="122" spans="1:18" ht="32.1" customHeight="1" x14ac:dyDescent="0.25">
      <c r="A122" s="10" t="s">
        <v>56</v>
      </c>
      <c r="B122" s="10" t="s">
        <v>58</v>
      </c>
      <c r="C122" s="10" t="s">
        <v>3</v>
      </c>
      <c r="D122" s="10" t="s">
        <v>64</v>
      </c>
      <c r="E122" s="10" t="s">
        <v>79</v>
      </c>
      <c r="F122" s="10" t="s">
        <v>167</v>
      </c>
      <c r="G122" s="11">
        <v>160</v>
      </c>
      <c r="H122" s="12">
        <v>66.585840242029619</v>
      </c>
      <c r="I122" s="12">
        <v>56.834851513184162</v>
      </c>
      <c r="J122" s="12">
        <v>112.4667386301853</v>
      </c>
      <c r="K122" s="12"/>
      <c r="L122" s="12">
        <v>20.76980592662737</v>
      </c>
      <c r="M122" s="12">
        <v>899.73998498028084</v>
      </c>
      <c r="N122" s="12">
        <v>70.812872860009733</v>
      </c>
      <c r="O122" s="12">
        <v>1.0634824551678781</v>
      </c>
      <c r="P122" s="10" t="s">
        <v>168</v>
      </c>
      <c r="Q122" s="12">
        <v>47.588789855304931</v>
      </c>
      <c r="R122" s="12">
        <v>68.585840242029619</v>
      </c>
    </row>
    <row r="123" spans="1:18" ht="32.1" customHeight="1" x14ac:dyDescent="0.25">
      <c r="A123" s="10" t="s">
        <v>56</v>
      </c>
      <c r="B123" s="10" t="s">
        <v>58</v>
      </c>
      <c r="C123" s="10" t="s">
        <v>3</v>
      </c>
      <c r="D123" s="10" t="s">
        <v>64</v>
      </c>
      <c r="E123" s="10" t="s">
        <v>79</v>
      </c>
      <c r="F123" s="10" t="s">
        <v>169</v>
      </c>
      <c r="G123" s="11">
        <v>15</v>
      </c>
      <c r="H123" s="12">
        <v>51.642505611983147</v>
      </c>
      <c r="I123" s="12">
        <v>48.647303355451349</v>
      </c>
      <c r="J123" s="12"/>
      <c r="K123" s="12"/>
      <c r="L123" s="12">
        <v>23.078703019405641</v>
      </c>
      <c r="M123" s="12">
        <v>92.394990702186121</v>
      </c>
      <c r="N123" s="12">
        <v>19.315890543232172</v>
      </c>
      <c r="O123" s="12">
        <v>0.37403085528735658</v>
      </c>
      <c r="P123" s="10" t="s">
        <v>168</v>
      </c>
      <c r="Q123" s="12">
        <v>37.182604040627872</v>
      </c>
      <c r="R123" s="12">
        <v>53.642505611983147</v>
      </c>
    </row>
    <row r="124" spans="1:18" ht="32.1" customHeight="1" x14ac:dyDescent="0.25">
      <c r="A124" s="10" t="s">
        <v>56</v>
      </c>
      <c r="B124" s="10" t="s">
        <v>58</v>
      </c>
      <c r="C124" s="10" t="s">
        <v>3</v>
      </c>
      <c r="D124" s="10" t="s">
        <v>64</v>
      </c>
      <c r="E124" s="10" t="s">
        <v>80</v>
      </c>
      <c r="F124" s="10" t="s">
        <v>167</v>
      </c>
      <c r="G124" s="11">
        <v>171</v>
      </c>
      <c r="H124" s="12">
        <v>61.732583112759038</v>
      </c>
      <c r="I124" s="12">
        <v>55.643195579369447</v>
      </c>
      <c r="J124" s="12">
        <v>100.7806607008045</v>
      </c>
      <c r="K124" s="12"/>
      <c r="L124" s="12">
        <v>10.86154772275</v>
      </c>
      <c r="M124" s="12">
        <v>559.62119085529514</v>
      </c>
      <c r="N124" s="12">
        <v>43.681514167123147</v>
      </c>
      <c r="O124" s="12">
        <v>0.70759252188322808</v>
      </c>
      <c r="P124" s="10" t="s">
        <v>168</v>
      </c>
      <c r="Q124" s="12">
        <v>44.787838267055847</v>
      </c>
      <c r="R124" s="12">
        <v>63.732583112759038</v>
      </c>
    </row>
    <row r="125" spans="1:18" ht="32.1" customHeight="1" x14ac:dyDescent="0.25">
      <c r="A125" s="10" t="s">
        <v>56</v>
      </c>
      <c r="B125" s="10" t="s">
        <v>58</v>
      </c>
      <c r="C125" s="10" t="s">
        <v>3</v>
      </c>
      <c r="D125" s="10" t="s">
        <v>64</v>
      </c>
      <c r="E125" s="10" t="s">
        <v>80</v>
      </c>
      <c r="F125" s="10" t="s">
        <v>169</v>
      </c>
      <c r="G125" s="11">
        <v>11</v>
      </c>
      <c r="H125" s="12">
        <v>59.706727516722033</v>
      </c>
      <c r="I125" s="12">
        <v>58.514407468734873</v>
      </c>
      <c r="J125" s="12"/>
      <c r="K125" s="12"/>
      <c r="L125" s="12">
        <v>32.561745804553873</v>
      </c>
      <c r="M125" s="12">
        <v>89.69387384387818</v>
      </c>
      <c r="N125" s="12">
        <v>19.759352649730971</v>
      </c>
      <c r="O125" s="12">
        <v>0.33094013809745287</v>
      </c>
      <c r="P125" s="10" t="s">
        <v>168</v>
      </c>
      <c r="Q125" s="12">
        <v>42.988843812039853</v>
      </c>
      <c r="R125" s="12">
        <v>61.706727516722033</v>
      </c>
    </row>
    <row r="126" spans="1:18" ht="32.1" customHeight="1" x14ac:dyDescent="0.25">
      <c r="A126" s="10" t="s">
        <v>56</v>
      </c>
      <c r="B126" s="10" t="s">
        <v>58</v>
      </c>
      <c r="C126" s="10" t="s">
        <v>3</v>
      </c>
      <c r="D126" s="10" t="s">
        <v>64</v>
      </c>
      <c r="E126" s="10" t="s">
        <v>81</v>
      </c>
      <c r="F126" s="10" t="s">
        <v>167</v>
      </c>
      <c r="G126" s="11">
        <v>181</v>
      </c>
      <c r="H126" s="12">
        <v>61.404647809680327</v>
      </c>
      <c r="I126" s="12">
        <v>59.14033280433538</v>
      </c>
      <c r="J126" s="12">
        <v>107.4318190498164</v>
      </c>
      <c r="K126" s="12"/>
      <c r="L126" s="12">
        <v>19.92156360052925</v>
      </c>
      <c r="M126" s="12">
        <v>137.12745838073579</v>
      </c>
      <c r="N126" s="12">
        <v>23.710968790891531</v>
      </c>
      <c r="O126" s="12">
        <v>0.3861429001984038</v>
      </c>
      <c r="P126" s="10" t="s">
        <v>168</v>
      </c>
      <c r="Q126" s="12">
        <v>44.241196635406411</v>
      </c>
      <c r="R126" s="12">
        <v>63.404647809680327</v>
      </c>
    </row>
    <row r="127" spans="1:18" ht="32.1" customHeight="1" x14ac:dyDescent="0.25">
      <c r="A127" s="10" t="s">
        <v>56</v>
      </c>
      <c r="B127" s="10" t="s">
        <v>58</v>
      </c>
      <c r="C127" s="10" t="s">
        <v>3</v>
      </c>
      <c r="D127" s="10" t="s">
        <v>64</v>
      </c>
      <c r="E127" s="10" t="s">
        <v>81</v>
      </c>
      <c r="F127" s="10" t="s">
        <v>169</v>
      </c>
      <c r="G127" s="11">
        <v>13</v>
      </c>
      <c r="H127" s="12">
        <v>51.877095502761009</v>
      </c>
      <c r="I127" s="12">
        <v>44.975646663917551</v>
      </c>
      <c r="J127" s="12"/>
      <c r="K127" s="12"/>
      <c r="L127" s="12">
        <v>26.745757824231269</v>
      </c>
      <c r="M127" s="12">
        <v>83.258089792136815</v>
      </c>
      <c r="N127" s="12">
        <v>19.710464291574532</v>
      </c>
      <c r="O127" s="12">
        <v>0.3799454094442411</v>
      </c>
      <c r="P127" s="10" t="s">
        <v>168</v>
      </c>
      <c r="Q127" s="12">
        <v>37.351508761987922</v>
      </c>
      <c r="R127" s="12">
        <v>53.877095502761009</v>
      </c>
    </row>
    <row r="128" spans="1:18" ht="32.1" customHeight="1" x14ac:dyDescent="0.25">
      <c r="A128" s="10" t="s">
        <v>56</v>
      </c>
      <c r="B128" s="10" t="s">
        <v>58</v>
      </c>
      <c r="C128" s="10" t="s">
        <v>3</v>
      </c>
      <c r="D128" s="10" t="s">
        <v>64</v>
      </c>
      <c r="E128" s="10" t="s">
        <v>82</v>
      </c>
      <c r="F128" s="10" t="s">
        <v>167</v>
      </c>
      <c r="G128" s="11">
        <v>19</v>
      </c>
      <c r="H128" s="12">
        <v>71.982112954584295</v>
      </c>
      <c r="I128" s="12">
        <v>66.095577165782103</v>
      </c>
      <c r="J128" s="12"/>
      <c r="K128" s="12"/>
      <c r="L128" s="12">
        <v>43.061434309785852</v>
      </c>
      <c r="M128" s="12">
        <v>132.9485598877971</v>
      </c>
      <c r="N128" s="12">
        <v>25.60648573398268</v>
      </c>
      <c r="O128" s="12">
        <v>0.35573401061647891</v>
      </c>
      <c r="P128" s="10" t="s">
        <v>168</v>
      </c>
      <c r="Q128" s="12">
        <v>50.793226114196401</v>
      </c>
      <c r="R128" s="12">
        <v>73.982112954584295</v>
      </c>
    </row>
    <row r="129" spans="1:18" ht="32.1" customHeight="1" x14ac:dyDescent="0.25">
      <c r="A129" s="10" t="s">
        <v>56</v>
      </c>
      <c r="B129" s="10" t="s">
        <v>58</v>
      </c>
      <c r="C129" s="10" t="s">
        <v>3</v>
      </c>
      <c r="D129" s="10" t="s">
        <v>64</v>
      </c>
      <c r="E129" s="10" t="s">
        <v>82</v>
      </c>
      <c r="F129" s="10" t="s">
        <v>169</v>
      </c>
      <c r="G129" s="11">
        <v>1</v>
      </c>
      <c r="H129" s="12">
        <v>49.796228951964892</v>
      </c>
      <c r="I129" s="12">
        <v>49.796228951964892</v>
      </c>
      <c r="J129" s="12"/>
      <c r="K129" s="12"/>
      <c r="L129" s="12">
        <v>49.796228951964892</v>
      </c>
      <c r="M129" s="12">
        <v>49.796228951964892</v>
      </c>
      <c r="N129" s="12"/>
      <c r="O129" s="12"/>
      <c r="P129" s="10" t="s">
        <v>168</v>
      </c>
      <c r="Q129" s="12">
        <v>35.85328484541472</v>
      </c>
      <c r="R129" s="12">
        <v>51.796228951964892</v>
      </c>
    </row>
    <row r="130" spans="1:18" ht="32.1" customHeight="1" x14ac:dyDescent="0.25">
      <c r="A130" s="10" t="s">
        <v>56</v>
      </c>
      <c r="B130" s="10" t="s">
        <v>58</v>
      </c>
      <c r="C130" s="10" t="s">
        <v>3</v>
      </c>
      <c r="D130" s="10" t="s">
        <v>64</v>
      </c>
      <c r="E130" s="10" t="s">
        <v>84</v>
      </c>
      <c r="F130" s="10" t="s">
        <v>167</v>
      </c>
      <c r="G130" s="11">
        <v>24</v>
      </c>
      <c r="H130" s="12">
        <v>46.674041648476432</v>
      </c>
      <c r="I130" s="12">
        <v>46.646729568790981</v>
      </c>
      <c r="J130" s="12">
        <v>67.217322060071012</v>
      </c>
      <c r="K130" s="12"/>
      <c r="L130" s="12">
        <v>21.384527430232769</v>
      </c>
      <c r="M130" s="12">
        <v>75.180717530284838</v>
      </c>
      <c r="N130" s="12">
        <v>12.70840369311416</v>
      </c>
      <c r="O130" s="12">
        <v>0.27227990643765038</v>
      </c>
      <c r="P130" s="10" t="s">
        <v>168</v>
      </c>
      <c r="Q130" s="12">
        <v>34.510076558803867</v>
      </c>
      <c r="R130" s="12">
        <v>48.674041648476432</v>
      </c>
    </row>
    <row r="131" spans="1:18" ht="32.1" customHeight="1" x14ac:dyDescent="0.25">
      <c r="A131" s="10" t="s">
        <v>56</v>
      </c>
      <c r="B131" s="10" t="s">
        <v>58</v>
      </c>
      <c r="C131" s="10" t="s">
        <v>3</v>
      </c>
      <c r="D131" s="10" t="s">
        <v>64</v>
      </c>
      <c r="E131" s="10" t="s">
        <v>84</v>
      </c>
      <c r="F131" s="10" t="s">
        <v>169</v>
      </c>
      <c r="G131" s="11">
        <v>2</v>
      </c>
      <c r="H131" s="12">
        <v>38.309950871342913</v>
      </c>
      <c r="I131" s="12">
        <v>38.309950871342913</v>
      </c>
      <c r="J131" s="12"/>
      <c r="K131" s="12"/>
      <c r="L131" s="12">
        <v>29.434256149917999</v>
      </c>
      <c r="M131" s="12">
        <v>47.18564559276782</v>
      </c>
      <c r="N131" s="12">
        <v>12.552127850522391</v>
      </c>
      <c r="O131" s="12">
        <v>0.32764667051326851</v>
      </c>
      <c r="P131" s="10" t="s">
        <v>168</v>
      </c>
      <c r="Q131" s="12">
        <v>27.583164627366891</v>
      </c>
      <c r="R131" s="12">
        <v>40.309950871342913</v>
      </c>
    </row>
    <row r="132" spans="1:18" ht="32.1" customHeight="1" x14ac:dyDescent="0.25">
      <c r="A132" s="10" t="s">
        <v>56</v>
      </c>
      <c r="B132" s="10" t="s">
        <v>58</v>
      </c>
      <c r="C132" s="10" t="s">
        <v>3</v>
      </c>
      <c r="D132" s="10" t="s">
        <v>64</v>
      </c>
      <c r="E132" s="10" t="s">
        <v>85</v>
      </c>
      <c r="F132" s="10" t="s">
        <v>167</v>
      </c>
      <c r="G132" s="11">
        <v>18</v>
      </c>
      <c r="H132" s="12">
        <v>48.342084751009537</v>
      </c>
      <c r="I132" s="12">
        <v>44.718338162162112</v>
      </c>
      <c r="J132" s="12"/>
      <c r="K132" s="12"/>
      <c r="L132" s="12">
        <v>30.188658895747349</v>
      </c>
      <c r="M132" s="12">
        <v>98.058928988324794</v>
      </c>
      <c r="N132" s="12">
        <v>17.468641355004909</v>
      </c>
      <c r="O132" s="12">
        <v>0.3613547376986076</v>
      </c>
      <c r="P132" s="10" t="s">
        <v>168</v>
      </c>
      <c r="Q132" s="12">
        <v>34.950468509470682</v>
      </c>
      <c r="R132" s="12">
        <v>50.342084751009537</v>
      </c>
    </row>
    <row r="133" spans="1:18" ht="32.1" customHeight="1" x14ac:dyDescent="0.25">
      <c r="A133" s="10" t="s">
        <v>56</v>
      </c>
      <c r="B133" s="10" t="s">
        <v>58</v>
      </c>
      <c r="C133" s="10" t="s">
        <v>3</v>
      </c>
      <c r="D133" s="10" t="s">
        <v>64</v>
      </c>
      <c r="E133" s="10" t="s">
        <v>85</v>
      </c>
      <c r="F133" s="10" t="s">
        <v>169</v>
      </c>
      <c r="G133" s="11">
        <v>2</v>
      </c>
      <c r="H133" s="12">
        <v>42.326002843041508</v>
      </c>
      <c r="I133" s="12">
        <v>42.326002843041508</v>
      </c>
      <c r="J133" s="12"/>
      <c r="K133" s="12"/>
      <c r="L133" s="12">
        <v>17.68480560631242</v>
      </c>
      <c r="M133" s="12">
        <v>66.967200079770592</v>
      </c>
      <c r="N133" s="12">
        <v>34.847915325292711</v>
      </c>
      <c r="O133" s="12">
        <v>0.82332166953066743</v>
      </c>
      <c r="P133" s="10" t="s">
        <v>168</v>
      </c>
      <c r="Q133" s="12">
        <v>30.474722046989879</v>
      </c>
      <c r="R133" s="12">
        <v>44.326002843041508</v>
      </c>
    </row>
    <row r="134" spans="1:18" ht="32.1" customHeight="1" x14ac:dyDescent="0.25">
      <c r="A134" s="10" t="s">
        <v>56</v>
      </c>
      <c r="B134" s="10" t="s">
        <v>58</v>
      </c>
      <c r="C134" s="10" t="s">
        <v>3</v>
      </c>
      <c r="D134" s="10" t="s">
        <v>64</v>
      </c>
      <c r="E134" s="10" t="s">
        <v>86</v>
      </c>
      <c r="F134" s="10" t="s">
        <v>167</v>
      </c>
      <c r="G134" s="11">
        <v>16</v>
      </c>
      <c r="H134" s="12">
        <v>54.129775098829228</v>
      </c>
      <c r="I134" s="12">
        <v>56.85799833165968</v>
      </c>
      <c r="J134" s="12"/>
      <c r="K134" s="12"/>
      <c r="L134" s="12">
        <v>33.314609657173797</v>
      </c>
      <c r="M134" s="12">
        <v>76.957398118588486</v>
      </c>
      <c r="N134" s="12">
        <v>13.13903270056805</v>
      </c>
      <c r="O134" s="12">
        <v>0.24273207632174759</v>
      </c>
      <c r="P134" s="10" t="s">
        <v>168</v>
      </c>
      <c r="Q134" s="12">
        <v>38.223414914148293</v>
      </c>
      <c r="R134" s="12">
        <v>56.129775098829242</v>
      </c>
    </row>
    <row r="135" spans="1:18" ht="32.1" customHeight="1" x14ac:dyDescent="0.25">
      <c r="A135" s="10" t="s">
        <v>56</v>
      </c>
      <c r="B135" s="10" t="s">
        <v>58</v>
      </c>
      <c r="C135" s="10" t="s">
        <v>3</v>
      </c>
      <c r="D135" s="10" t="s">
        <v>64</v>
      </c>
      <c r="E135" s="10" t="s">
        <v>86</v>
      </c>
      <c r="F135" s="10" t="s">
        <v>169</v>
      </c>
      <c r="G135" s="11">
        <v>1</v>
      </c>
      <c r="H135" s="12">
        <v>73.978597004694649</v>
      </c>
      <c r="I135" s="12">
        <v>73.978597004694649</v>
      </c>
      <c r="J135" s="12"/>
      <c r="K135" s="12"/>
      <c r="L135" s="12">
        <v>73.978597004694649</v>
      </c>
      <c r="M135" s="12">
        <v>73.978597004694649</v>
      </c>
      <c r="N135" s="12"/>
      <c r="O135" s="12"/>
      <c r="P135" s="10" t="s">
        <v>168</v>
      </c>
      <c r="Q135" s="12">
        <v>53.264589843380143</v>
      </c>
      <c r="R135" s="12">
        <v>75.978597004694649</v>
      </c>
    </row>
    <row r="136" spans="1:18" ht="32.1" customHeight="1" x14ac:dyDescent="0.25">
      <c r="A136" s="10" t="s">
        <v>56</v>
      </c>
      <c r="B136" s="10" t="s">
        <v>58</v>
      </c>
      <c r="C136" s="10" t="s">
        <v>3</v>
      </c>
      <c r="D136" s="10" t="s">
        <v>64</v>
      </c>
      <c r="E136" s="10" t="s">
        <v>87</v>
      </c>
      <c r="F136" s="10" t="s">
        <v>167</v>
      </c>
      <c r="G136" s="11">
        <v>15</v>
      </c>
      <c r="H136" s="12">
        <v>52.97979971674355</v>
      </c>
      <c r="I136" s="12">
        <v>44.277879121067294</v>
      </c>
      <c r="J136" s="12"/>
      <c r="K136" s="12"/>
      <c r="L136" s="12">
        <v>26.305222403364649</v>
      </c>
      <c r="M136" s="12">
        <v>117.6566610821298</v>
      </c>
      <c r="N136" s="12">
        <v>27.013120502732772</v>
      </c>
      <c r="O136" s="12">
        <v>0.50987585168608396</v>
      </c>
      <c r="P136" s="10" t="s">
        <v>168</v>
      </c>
      <c r="Q136" s="12">
        <v>38.066446134961303</v>
      </c>
      <c r="R136" s="12">
        <v>54.97979971674355</v>
      </c>
    </row>
    <row r="137" spans="1:18" ht="32.1" customHeight="1" x14ac:dyDescent="0.25">
      <c r="A137" s="10" t="s">
        <v>56</v>
      </c>
      <c r="B137" s="10" t="s">
        <v>58</v>
      </c>
      <c r="C137" s="10" t="s">
        <v>3</v>
      </c>
      <c r="D137" s="10" t="s">
        <v>64</v>
      </c>
      <c r="E137" s="10" t="s">
        <v>88</v>
      </c>
      <c r="F137" s="10" t="s">
        <v>167</v>
      </c>
      <c r="G137" s="11">
        <v>70</v>
      </c>
      <c r="H137" s="12">
        <v>66.399463222406339</v>
      </c>
      <c r="I137" s="12">
        <v>62.943643446467973</v>
      </c>
      <c r="J137" s="12">
        <v>102.6777938066823</v>
      </c>
      <c r="K137" s="12"/>
      <c r="L137" s="12">
        <v>27.23912962263465</v>
      </c>
      <c r="M137" s="12">
        <v>150.44532066947829</v>
      </c>
      <c r="N137" s="12">
        <v>24.26558652346618</v>
      </c>
      <c r="O137" s="12">
        <v>0.36544853445860109</v>
      </c>
      <c r="P137" s="10" t="s">
        <v>168</v>
      </c>
      <c r="Q137" s="12">
        <v>48.265108127362453</v>
      </c>
      <c r="R137" s="12">
        <v>68.399463222406339</v>
      </c>
    </row>
    <row r="138" spans="1:18" ht="32.1" customHeight="1" x14ac:dyDescent="0.25">
      <c r="A138" s="10" t="s">
        <v>56</v>
      </c>
      <c r="B138" s="10" t="s">
        <v>58</v>
      </c>
      <c r="C138" s="10" t="s">
        <v>3</v>
      </c>
      <c r="D138" s="10" t="s">
        <v>64</v>
      </c>
      <c r="E138" s="10" t="s">
        <v>88</v>
      </c>
      <c r="F138" s="10" t="s">
        <v>169</v>
      </c>
      <c r="G138" s="11">
        <v>7</v>
      </c>
      <c r="H138" s="12">
        <v>61.470938891239157</v>
      </c>
      <c r="I138" s="12">
        <v>70.928975265222874</v>
      </c>
      <c r="J138" s="12"/>
      <c r="K138" s="12"/>
      <c r="L138" s="12">
        <v>30.28183036744883</v>
      </c>
      <c r="M138" s="12">
        <v>91.130120985639977</v>
      </c>
      <c r="N138" s="12">
        <v>21.41989700939763</v>
      </c>
      <c r="O138" s="12">
        <v>0.3484556669501333</v>
      </c>
      <c r="P138" s="10" t="s">
        <v>168</v>
      </c>
      <c r="Q138" s="12">
        <v>42.78938192623832</v>
      </c>
      <c r="R138" s="12">
        <v>63.470938891239157</v>
      </c>
    </row>
    <row r="139" spans="1:18" ht="32.1" customHeight="1" x14ac:dyDescent="0.25">
      <c r="A139" s="10" t="s">
        <v>56</v>
      </c>
      <c r="B139" s="10" t="s">
        <v>58</v>
      </c>
      <c r="C139" s="10" t="s">
        <v>3</v>
      </c>
      <c r="D139" s="10" t="s">
        <v>64</v>
      </c>
      <c r="E139" s="10" t="s">
        <v>89</v>
      </c>
      <c r="F139" s="10" t="s">
        <v>167</v>
      </c>
      <c r="G139" s="11">
        <v>67</v>
      </c>
      <c r="H139" s="12">
        <v>53.527605202238092</v>
      </c>
      <c r="I139" s="12">
        <v>49.038825324222138</v>
      </c>
      <c r="J139" s="12">
        <v>94.366208649105999</v>
      </c>
      <c r="K139" s="12"/>
      <c r="L139" s="12">
        <v>21.42090579389874</v>
      </c>
      <c r="M139" s="12">
        <v>131.25652161046901</v>
      </c>
      <c r="N139" s="12">
        <v>23.35569180394177</v>
      </c>
      <c r="O139" s="12">
        <v>0.43632984729466701</v>
      </c>
      <c r="P139" s="10" t="s">
        <v>168</v>
      </c>
      <c r="Q139" s="12">
        <v>38.767834787828612</v>
      </c>
      <c r="R139" s="12">
        <v>55.527605202238092</v>
      </c>
    </row>
    <row r="140" spans="1:18" ht="32.1" customHeight="1" x14ac:dyDescent="0.25">
      <c r="A140" s="10" t="s">
        <v>56</v>
      </c>
      <c r="B140" s="10" t="s">
        <v>58</v>
      </c>
      <c r="C140" s="10" t="s">
        <v>3</v>
      </c>
      <c r="D140" s="10" t="s">
        <v>64</v>
      </c>
      <c r="E140" s="10" t="s">
        <v>89</v>
      </c>
      <c r="F140" s="10" t="s">
        <v>169</v>
      </c>
      <c r="G140" s="11">
        <v>2</v>
      </c>
      <c r="H140" s="12">
        <v>29.073386767950328</v>
      </c>
      <c r="I140" s="12">
        <v>29.073386767950328</v>
      </c>
      <c r="J140" s="12"/>
      <c r="K140" s="12"/>
      <c r="L140" s="12">
        <v>27.79137700604824</v>
      </c>
      <c r="M140" s="12">
        <v>30.355396529852442</v>
      </c>
      <c r="N140" s="12">
        <v>1.8130355923766559</v>
      </c>
      <c r="O140" s="12">
        <v>6.2360660175143197E-2</v>
      </c>
      <c r="P140" s="10" t="s">
        <v>168</v>
      </c>
      <c r="Q140" s="12">
        <v>20.932838472924239</v>
      </c>
      <c r="R140" s="12">
        <v>31.073386767950339</v>
      </c>
    </row>
    <row r="141" spans="1:18" ht="32.1" customHeight="1" x14ac:dyDescent="0.25">
      <c r="A141" s="10" t="s">
        <v>56</v>
      </c>
      <c r="B141" s="10" t="s">
        <v>58</v>
      </c>
      <c r="C141" s="10" t="s">
        <v>3</v>
      </c>
      <c r="D141" s="10" t="s">
        <v>64</v>
      </c>
      <c r="E141" s="10" t="s">
        <v>90</v>
      </c>
      <c r="F141" s="10" t="s">
        <v>167</v>
      </c>
      <c r="G141" s="11">
        <v>62</v>
      </c>
      <c r="H141" s="12">
        <v>48.083307086536202</v>
      </c>
      <c r="I141" s="12">
        <v>44.656168616059972</v>
      </c>
      <c r="J141" s="12">
        <v>82.848965791191929</v>
      </c>
      <c r="K141" s="12"/>
      <c r="L141" s="12">
        <v>18.911597320255581</v>
      </c>
      <c r="M141" s="12">
        <v>98.133415050136918</v>
      </c>
      <c r="N141" s="12">
        <v>19.330781663227349</v>
      </c>
      <c r="O141" s="12">
        <v>0.40202687449175378</v>
      </c>
      <c r="P141" s="10" t="s">
        <v>168</v>
      </c>
      <c r="Q141" s="12">
        <v>35.38467969797253</v>
      </c>
      <c r="R141" s="12">
        <v>50.083307086536202</v>
      </c>
    </row>
    <row r="142" spans="1:18" ht="32.1" customHeight="1" x14ac:dyDescent="0.25">
      <c r="A142" s="10" t="s">
        <v>56</v>
      </c>
      <c r="B142" s="10" t="s">
        <v>58</v>
      </c>
      <c r="C142" s="10" t="s">
        <v>3</v>
      </c>
      <c r="D142" s="10" t="s">
        <v>64</v>
      </c>
      <c r="E142" s="10" t="s">
        <v>90</v>
      </c>
      <c r="F142" s="10" t="s">
        <v>169</v>
      </c>
      <c r="G142" s="11">
        <v>1</v>
      </c>
      <c r="H142" s="12">
        <v>67.211385203888696</v>
      </c>
      <c r="I142" s="12">
        <v>67.211385203888696</v>
      </c>
      <c r="J142" s="12"/>
      <c r="K142" s="12"/>
      <c r="L142" s="12">
        <v>67.211385203888696</v>
      </c>
      <c r="M142" s="12">
        <v>67.211385203888696</v>
      </c>
      <c r="N142" s="12"/>
      <c r="O142" s="12"/>
      <c r="P142" s="10" t="s">
        <v>168</v>
      </c>
      <c r="Q142" s="12">
        <v>48.392197346799861</v>
      </c>
      <c r="R142" s="12">
        <v>69.211385203888696</v>
      </c>
    </row>
    <row r="143" spans="1:18" ht="32.1" customHeight="1" x14ac:dyDescent="0.25">
      <c r="A143" s="10" t="s">
        <v>56</v>
      </c>
      <c r="B143" s="10" t="s">
        <v>58</v>
      </c>
      <c r="C143" s="10" t="s">
        <v>3</v>
      </c>
      <c r="D143" s="10" t="s">
        <v>64</v>
      </c>
      <c r="E143" s="10" t="s">
        <v>91</v>
      </c>
      <c r="F143" s="10" t="s">
        <v>167</v>
      </c>
      <c r="G143" s="11">
        <v>62</v>
      </c>
      <c r="H143" s="12">
        <v>45.233106984964152</v>
      </c>
      <c r="I143" s="12">
        <v>42.538205438571232</v>
      </c>
      <c r="J143" s="12">
        <v>79.959553971110267</v>
      </c>
      <c r="K143" s="12"/>
      <c r="L143" s="12">
        <v>20.34419369894762</v>
      </c>
      <c r="M143" s="12">
        <v>99.009347009519459</v>
      </c>
      <c r="N143" s="12">
        <v>17.2895230135708</v>
      </c>
      <c r="O143" s="12">
        <v>0.38223160348719748</v>
      </c>
      <c r="P143" s="10" t="s">
        <v>168</v>
      </c>
      <c r="Q143" s="12">
        <v>31.93310108134337</v>
      </c>
      <c r="R143" s="12">
        <v>47.233106984964152</v>
      </c>
    </row>
    <row r="144" spans="1:18" ht="32.1" customHeight="1" x14ac:dyDescent="0.25">
      <c r="A144" s="10" t="s">
        <v>56</v>
      </c>
      <c r="B144" s="10" t="s">
        <v>58</v>
      </c>
      <c r="C144" s="10" t="s">
        <v>3</v>
      </c>
      <c r="D144" s="10" t="s">
        <v>64</v>
      </c>
      <c r="E144" s="10" t="s">
        <v>91</v>
      </c>
      <c r="F144" s="10" t="s">
        <v>169</v>
      </c>
      <c r="G144" s="11">
        <v>6</v>
      </c>
      <c r="H144" s="12">
        <v>66.209520977340617</v>
      </c>
      <c r="I144" s="12">
        <v>54.058665885407002</v>
      </c>
      <c r="J144" s="12"/>
      <c r="K144" s="12"/>
      <c r="L144" s="12">
        <v>44.404122883160532</v>
      </c>
      <c r="M144" s="12">
        <v>111.1661609649594</v>
      </c>
      <c r="N144" s="12">
        <v>25.268566812769251</v>
      </c>
      <c r="O144" s="12">
        <v>0.38164551623046938</v>
      </c>
      <c r="P144" s="10" t="s">
        <v>168</v>
      </c>
      <c r="Q144" s="12">
        <v>45.557130977078252</v>
      </c>
      <c r="R144" s="12">
        <v>68.209520977340617</v>
      </c>
    </row>
    <row r="145" spans="1:18" ht="32.1" customHeight="1" x14ac:dyDescent="0.25">
      <c r="A145" s="10" t="s">
        <v>56</v>
      </c>
      <c r="B145" s="10" t="s">
        <v>58</v>
      </c>
      <c r="C145" s="10" t="s">
        <v>3</v>
      </c>
      <c r="D145" s="10" t="s">
        <v>64</v>
      </c>
      <c r="E145" s="10" t="s">
        <v>92</v>
      </c>
      <c r="F145" s="10" t="s">
        <v>167</v>
      </c>
      <c r="G145" s="11">
        <v>58</v>
      </c>
      <c r="H145" s="12">
        <v>47.786333961387598</v>
      </c>
      <c r="I145" s="12">
        <v>43.828432386812068</v>
      </c>
      <c r="J145" s="12">
        <v>75.223801776002091</v>
      </c>
      <c r="K145" s="12"/>
      <c r="L145" s="12">
        <v>19.955440018243671</v>
      </c>
      <c r="M145" s="12">
        <v>94.907832288966517</v>
      </c>
      <c r="N145" s="12">
        <v>17.25812454895707</v>
      </c>
      <c r="O145" s="12">
        <v>0.36115188419563649</v>
      </c>
      <c r="P145" s="10" t="s">
        <v>168</v>
      </c>
      <c r="Q145" s="12">
        <v>34.602901204858178</v>
      </c>
      <c r="R145" s="12">
        <v>49.786333961387598</v>
      </c>
    </row>
    <row r="146" spans="1:18" ht="32.1" customHeight="1" x14ac:dyDescent="0.25">
      <c r="A146" s="10" t="s">
        <v>56</v>
      </c>
      <c r="B146" s="10" t="s">
        <v>58</v>
      </c>
      <c r="C146" s="10" t="s">
        <v>3</v>
      </c>
      <c r="D146" s="10" t="s">
        <v>64</v>
      </c>
      <c r="E146" s="10" t="s">
        <v>92</v>
      </c>
      <c r="F146" s="10" t="s">
        <v>169</v>
      </c>
      <c r="G146" s="11">
        <v>1</v>
      </c>
      <c r="H146" s="12">
        <v>45.601047901760893</v>
      </c>
      <c r="I146" s="12">
        <v>45.601047901760893</v>
      </c>
      <c r="J146" s="12"/>
      <c r="K146" s="12"/>
      <c r="L146" s="12">
        <v>45.601047901760893</v>
      </c>
      <c r="M146" s="12">
        <v>45.601047901760893</v>
      </c>
      <c r="N146" s="12"/>
      <c r="O146" s="12"/>
      <c r="P146" s="10" t="s">
        <v>168</v>
      </c>
      <c r="Q146" s="12">
        <v>32.832754489267828</v>
      </c>
      <c r="R146" s="12">
        <v>47.601047901760893</v>
      </c>
    </row>
    <row r="147" spans="1:18" ht="32.1" customHeight="1" x14ac:dyDescent="0.25">
      <c r="A147" s="10" t="s">
        <v>56</v>
      </c>
      <c r="B147" s="10" t="s">
        <v>94</v>
      </c>
      <c r="C147" s="10" t="s">
        <v>59</v>
      </c>
      <c r="D147" s="10" t="s">
        <v>62</v>
      </c>
      <c r="E147" s="10" t="s">
        <v>93</v>
      </c>
      <c r="F147" s="10" t="s">
        <v>167</v>
      </c>
      <c r="G147" s="11">
        <v>73</v>
      </c>
      <c r="H147" s="12">
        <v>277.52000028871248</v>
      </c>
      <c r="I147" s="12">
        <v>179.38271338784079</v>
      </c>
      <c r="J147" s="12">
        <v>389.67323930640731</v>
      </c>
      <c r="K147" s="12"/>
      <c r="L147" s="12">
        <v>77.095207950064676</v>
      </c>
      <c r="M147" s="12">
        <v>5192.7734369923664</v>
      </c>
      <c r="N147" s="12">
        <v>590.91428869766855</v>
      </c>
      <c r="O147" s="12">
        <v>2.1292673972431619</v>
      </c>
      <c r="P147" s="10" t="s">
        <v>168</v>
      </c>
      <c r="Q147" s="12">
        <v>201.20933624859831</v>
      </c>
      <c r="R147" s="12">
        <v>279.52000028871248</v>
      </c>
    </row>
    <row r="148" spans="1:18" ht="32.1" customHeight="1" x14ac:dyDescent="0.25">
      <c r="A148" s="10" t="s">
        <v>56</v>
      </c>
      <c r="B148" s="10" t="s">
        <v>94</v>
      </c>
      <c r="C148" s="10" t="s">
        <v>59</v>
      </c>
      <c r="D148" s="10" t="s">
        <v>62</v>
      </c>
      <c r="E148" s="10" t="s">
        <v>93</v>
      </c>
      <c r="F148" s="10" t="s">
        <v>169</v>
      </c>
      <c r="G148" s="11">
        <v>8</v>
      </c>
      <c r="H148" s="12">
        <v>217.2606552954035</v>
      </c>
      <c r="I148" s="12">
        <v>164.34546448324221</v>
      </c>
      <c r="J148" s="12"/>
      <c r="K148" s="12"/>
      <c r="L148" s="12">
        <v>112.7779526288258</v>
      </c>
      <c r="M148" s="12">
        <v>461.29512218346417</v>
      </c>
      <c r="N148" s="12">
        <v>114.8193129486008</v>
      </c>
      <c r="O148" s="12">
        <v>0.52848645233295455</v>
      </c>
      <c r="P148" s="10" t="s">
        <v>168</v>
      </c>
      <c r="Q148" s="12">
        <v>156.42767181269051</v>
      </c>
      <c r="R148" s="12">
        <v>219.2606552954035</v>
      </c>
    </row>
    <row r="149" spans="1:18" ht="32.1" customHeight="1" x14ac:dyDescent="0.25">
      <c r="A149" s="10" t="s">
        <v>56</v>
      </c>
      <c r="B149" s="10" t="s">
        <v>94</v>
      </c>
      <c r="C149" s="10" t="s">
        <v>59</v>
      </c>
      <c r="D149" s="10" t="s">
        <v>62</v>
      </c>
      <c r="E149" s="10" t="s">
        <v>95</v>
      </c>
      <c r="F149" s="10" t="s">
        <v>167</v>
      </c>
      <c r="G149" s="11">
        <v>79</v>
      </c>
      <c r="H149" s="12">
        <v>199.82377742621389</v>
      </c>
      <c r="I149" s="12">
        <v>186.30060343150541</v>
      </c>
      <c r="J149" s="12">
        <v>349.5317716652396</v>
      </c>
      <c r="K149" s="12"/>
      <c r="L149" s="12">
        <v>67.804412995399417</v>
      </c>
      <c r="M149" s="12">
        <v>582.3063215818853</v>
      </c>
      <c r="N149" s="12">
        <v>84.475770940070262</v>
      </c>
      <c r="O149" s="12">
        <v>0.4227513463519797</v>
      </c>
      <c r="P149" s="10" t="s">
        <v>168</v>
      </c>
      <c r="Q149" s="12">
        <v>146.3606927669625</v>
      </c>
      <c r="R149" s="12">
        <v>201.82377742621389</v>
      </c>
    </row>
    <row r="150" spans="1:18" ht="32.1" customHeight="1" x14ac:dyDescent="0.25">
      <c r="A150" s="10" t="s">
        <v>56</v>
      </c>
      <c r="B150" s="10" t="s">
        <v>94</v>
      </c>
      <c r="C150" s="10" t="s">
        <v>59</v>
      </c>
      <c r="D150" s="10" t="s">
        <v>62</v>
      </c>
      <c r="E150" s="10" t="s">
        <v>95</v>
      </c>
      <c r="F150" s="10" t="s">
        <v>169</v>
      </c>
      <c r="G150" s="11">
        <v>6</v>
      </c>
      <c r="H150" s="12">
        <v>151.63908022317349</v>
      </c>
      <c r="I150" s="12">
        <v>130.78126016057129</v>
      </c>
      <c r="J150" s="12"/>
      <c r="K150" s="12"/>
      <c r="L150" s="12">
        <v>91.010554050140584</v>
      </c>
      <c r="M150" s="12">
        <v>221.25921091201269</v>
      </c>
      <c r="N150" s="12">
        <v>54.778088695303659</v>
      </c>
      <c r="O150" s="12">
        <v>0.36123991661440091</v>
      </c>
      <c r="P150" s="10" t="s">
        <v>168</v>
      </c>
      <c r="Q150" s="12">
        <v>109.1801377606849</v>
      </c>
      <c r="R150" s="12">
        <v>153.63908022317349</v>
      </c>
    </row>
    <row r="151" spans="1:18" ht="32.1" customHeight="1" x14ac:dyDescent="0.25">
      <c r="A151" s="10" t="s">
        <v>56</v>
      </c>
      <c r="B151" s="10" t="s">
        <v>94</v>
      </c>
      <c r="C151" s="10" t="s">
        <v>59</v>
      </c>
      <c r="D151" s="10" t="s">
        <v>62</v>
      </c>
      <c r="E151" s="10" t="s">
        <v>96</v>
      </c>
      <c r="F151" s="10" t="s">
        <v>167</v>
      </c>
      <c r="G151" s="11">
        <v>80</v>
      </c>
      <c r="H151" s="12">
        <v>219.3377299183507</v>
      </c>
      <c r="I151" s="12">
        <v>198.02968966080149</v>
      </c>
      <c r="J151" s="12">
        <v>396.8321558340898</v>
      </c>
      <c r="K151" s="12"/>
      <c r="L151" s="12">
        <v>39.925499511976241</v>
      </c>
      <c r="M151" s="12">
        <v>666.00217618100885</v>
      </c>
      <c r="N151" s="12">
        <v>100.92769179816079</v>
      </c>
      <c r="O151" s="12">
        <v>0.46014742577910128</v>
      </c>
      <c r="P151" s="10" t="s">
        <v>168</v>
      </c>
      <c r="Q151" s="12">
        <v>157.84596518580099</v>
      </c>
      <c r="R151" s="12">
        <v>221.3377299183507</v>
      </c>
    </row>
    <row r="152" spans="1:18" ht="32.1" customHeight="1" x14ac:dyDescent="0.25">
      <c r="A152" s="10" t="s">
        <v>56</v>
      </c>
      <c r="B152" s="10" t="s">
        <v>94</v>
      </c>
      <c r="C152" s="10" t="s">
        <v>59</v>
      </c>
      <c r="D152" s="10" t="s">
        <v>62</v>
      </c>
      <c r="E152" s="10" t="s">
        <v>96</v>
      </c>
      <c r="F152" s="10" t="s">
        <v>169</v>
      </c>
      <c r="G152" s="11">
        <v>2</v>
      </c>
      <c r="H152" s="12">
        <v>281.30811995007559</v>
      </c>
      <c r="I152" s="12">
        <v>281.30811995007559</v>
      </c>
      <c r="J152" s="12"/>
      <c r="K152" s="12"/>
      <c r="L152" s="12">
        <v>259.73504672784861</v>
      </c>
      <c r="M152" s="12">
        <v>302.88119317230252</v>
      </c>
      <c r="N152" s="12">
        <v>30.508932732941201</v>
      </c>
      <c r="O152" s="12">
        <v>0.108453793436022</v>
      </c>
      <c r="P152" s="10" t="s">
        <v>168</v>
      </c>
      <c r="Q152" s="12">
        <v>202.54184636405441</v>
      </c>
      <c r="R152" s="12">
        <v>283.30811995007559</v>
      </c>
    </row>
    <row r="153" spans="1:18" ht="32.1" customHeight="1" x14ac:dyDescent="0.25">
      <c r="A153" s="10" t="s">
        <v>56</v>
      </c>
      <c r="B153" s="10" t="s">
        <v>94</v>
      </c>
      <c r="C153" s="10" t="s">
        <v>59</v>
      </c>
      <c r="D153" s="10" t="s">
        <v>62</v>
      </c>
      <c r="E153" s="10" t="s">
        <v>97</v>
      </c>
      <c r="F153" s="10" t="s">
        <v>167</v>
      </c>
      <c r="G153" s="11">
        <v>66</v>
      </c>
      <c r="H153" s="12">
        <v>225.25208795941239</v>
      </c>
      <c r="I153" s="12">
        <v>163.04776601954569</v>
      </c>
      <c r="J153" s="12">
        <v>353.16758270500537</v>
      </c>
      <c r="K153" s="12"/>
      <c r="L153" s="12">
        <v>54.784210771956261</v>
      </c>
      <c r="M153" s="12">
        <v>3361.8239353015588</v>
      </c>
      <c r="N153" s="12">
        <v>401.06887236844091</v>
      </c>
      <c r="O153" s="12">
        <v>1.780533428132788</v>
      </c>
      <c r="P153" s="10" t="s">
        <v>168</v>
      </c>
      <c r="Q153" s="12">
        <v>162.18150333077699</v>
      </c>
      <c r="R153" s="12">
        <v>227.25208795941239</v>
      </c>
    </row>
    <row r="154" spans="1:18" ht="32.1" customHeight="1" x14ac:dyDescent="0.25">
      <c r="A154" s="10" t="s">
        <v>56</v>
      </c>
      <c r="B154" s="10" t="s">
        <v>94</v>
      </c>
      <c r="C154" s="10" t="s">
        <v>59</v>
      </c>
      <c r="D154" s="10" t="s">
        <v>62</v>
      </c>
      <c r="E154" s="10" t="s">
        <v>97</v>
      </c>
      <c r="F154" s="10" t="s">
        <v>169</v>
      </c>
      <c r="G154" s="11">
        <v>7</v>
      </c>
      <c r="H154" s="12">
        <v>188.70336167457799</v>
      </c>
      <c r="I154" s="12">
        <v>179.38875239312819</v>
      </c>
      <c r="J154" s="12"/>
      <c r="K154" s="12"/>
      <c r="L154" s="12">
        <v>82.599230342979979</v>
      </c>
      <c r="M154" s="12">
        <v>306.58898457544342</v>
      </c>
      <c r="N154" s="12">
        <v>68.455771133410394</v>
      </c>
      <c r="O154" s="12">
        <v>0.36276921897906339</v>
      </c>
      <c r="P154" s="10" t="s">
        <v>168</v>
      </c>
      <c r="Q154" s="12">
        <v>135.86642040569609</v>
      </c>
      <c r="R154" s="12">
        <v>190.70336167457799</v>
      </c>
    </row>
    <row r="155" spans="1:18" ht="32.1" customHeight="1" x14ac:dyDescent="0.25">
      <c r="A155" s="10" t="s">
        <v>56</v>
      </c>
      <c r="B155" s="10" t="s">
        <v>94</v>
      </c>
      <c r="C155" s="10" t="s">
        <v>59</v>
      </c>
      <c r="D155" s="10" t="s">
        <v>62</v>
      </c>
      <c r="E155" s="10" t="s">
        <v>98</v>
      </c>
      <c r="F155" s="10" t="s">
        <v>167</v>
      </c>
      <c r="G155" s="11">
        <v>78</v>
      </c>
      <c r="H155" s="12">
        <v>192.68522754917339</v>
      </c>
      <c r="I155" s="12">
        <v>186.4514070578916</v>
      </c>
      <c r="J155" s="12">
        <v>308.97822515357029</v>
      </c>
      <c r="K155" s="12"/>
      <c r="L155" s="12">
        <v>55.048463196581871</v>
      </c>
      <c r="M155" s="12">
        <v>489.38274486762327</v>
      </c>
      <c r="N155" s="12">
        <v>75.287438332557798</v>
      </c>
      <c r="O155" s="12">
        <v>0.3907276094289292</v>
      </c>
      <c r="P155" s="10" t="s">
        <v>168</v>
      </c>
      <c r="Q155" s="12">
        <v>141.09512462373399</v>
      </c>
      <c r="R155" s="12">
        <v>194.68522754917339</v>
      </c>
    </row>
    <row r="156" spans="1:18" ht="32.1" customHeight="1" x14ac:dyDescent="0.25">
      <c r="A156" s="10" t="s">
        <v>56</v>
      </c>
      <c r="B156" s="10" t="s">
        <v>94</v>
      </c>
      <c r="C156" s="10" t="s">
        <v>59</v>
      </c>
      <c r="D156" s="10" t="s">
        <v>62</v>
      </c>
      <c r="E156" s="10" t="s">
        <v>98</v>
      </c>
      <c r="F156" s="10" t="s">
        <v>169</v>
      </c>
      <c r="G156" s="11">
        <v>7</v>
      </c>
      <c r="H156" s="12">
        <v>210.67448828160789</v>
      </c>
      <c r="I156" s="12">
        <v>169.78978134080299</v>
      </c>
      <c r="J156" s="12"/>
      <c r="K156" s="12"/>
      <c r="L156" s="12">
        <v>52.757402979517593</v>
      </c>
      <c r="M156" s="12">
        <v>474.44405639998888</v>
      </c>
      <c r="N156" s="12">
        <v>135.8518387577484</v>
      </c>
      <c r="O156" s="12">
        <v>0.64484238156143392</v>
      </c>
      <c r="P156" s="10" t="s">
        <v>168</v>
      </c>
      <c r="Q156" s="12">
        <v>151.68563156275769</v>
      </c>
      <c r="R156" s="12">
        <v>212.67448828160789</v>
      </c>
    </row>
    <row r="157" spans="1:18" ht="32.1" customHeight="1" x14ac:dyDescent="0.25">
      <c r="A157" s="10" t="s">
        <v>56</v>
      </c>
      <c r="B157" s="10" t="s">
        <v>94</v>
      </c>
      <c r="C157" s="10" t="s">
        <v>59</v>
      </c>
      <c r="D157" s="10" t="s">
        <v>63</v>
      </c>
      <c r="E157" s="10" t="s">
        <v>93</v>
      </c>
      <c r="F157" s="10" t="s">
        <v>167</v>
      </c>
      <c r="G157" s="11">
        <v>530</v>
      </c>
      <c r="H157" s="12">
        <v>70.21204834801253</v>
      </c>
      <c r="I157" s="12">
        <v>62.209311085344993</v>
      </c>
      <c r="J157" s="12">
        <v>122.13527944063971</v>
      </c>
      <c r="K157" s="12"/>
      <c r="L157" s="12">
        <v>18.675674881627849</v>
      </c>
      <c r="M157" s="12">
        <v>1289.13853865746</v>
      </c>
      <c r="N157" s="12">
        <v>60.474028227288457</v>
      </c>
      <c r="O157" s="12">
        <v>0.8613055686332256</v>
      </c>
      <c r="P157" s="10" t="s">
        <v>168</v>
      </c>
      <c r="Q157" s="12">
        <v>48.939886093157789</v>
      </c>
      <c r="R157" s="12">
        <v>72.21204834801253</v>
      </c>
    </row>
    <row r="158" spans="1:18" ht="32.1" customHeight="1" x14ac:dyDescent="0.25">
      <c r="A158" s="10" t="s">
        <v>56</v>
      </c>
      <c r="B158" s="10" t="s">
        <v>94</v>
      </c>
      <c r="C158" s="10" t="s">
        <v>59</v>
      </c>
      <c r="D158" s="10" t="s">
        <v>63</v>
      </c>
      <c r="E158" s="10" t="s">
        <v>93</v>
      </c>
      <c r="F158" s="10" t="s">
        <v>169</v>
      </c>
      <c r="G158" s="11">
        <v>38</v>
      </c>
      <c r="H158" s="12">
        <v>60.885468487533949</v>
      </c>
      <c r="I158" s="12">
        <v>56.063944735290427</v>
      </c>
      <c r="J158" s="12">
        <v>106.0335398115346</v>
      </c>
      <c r="K158" s="12"/>
      <c r="L158" s="12">
        <v>19.23672169124022</v>
      </c>
      <c r="M158" s="12">
        <v>142.72787555479769</v>
      </c>
      <c r="N158" s="12">
        <v>25.908973732688761</v>
      </c>
      <c r="O158" s="12">
        <v>0.42553624660034461</v>
      </c>
      <c r="P158" s="10" t="s">
        <v>168</v>
      </c>
      <c r="Q158" s="12">
        <v>43.837537311024427</v>
      </c>
      <c r="R158" s="12">
        <v>62.885468487533949</v>
      </c>
    </row>
    <row r="159" spans="1:18" ht="32.1" customHeight="1" x14ac:dyDescent="0.25">
      <c r="A159" s="10" t="s">
        <v>56</v>
      </c>
      <c r="B159" s="10" t="s">
        <v>94</v>
      </c>
      <c r="C159" s="10" t="s">
        <v>59</v>
      </c>
      <c r="D159" s="10" t="s">
        <v>63</v>
      </c>
      <c r="E159" s="10" t="s">
        <v>95</v>
      </c>
      <c r="F159" s="10" t="s">
        <v>167</v>
      </c>
      <c r="G159" s="11">
        <v>543</v>
      </c>
      <c r="H159" s="12">
        <v>61.909216495598208</v>
      </c>
      <c r="I159" s="12">
        <v>57.941856551834753</v>
      </c>
      <c r="J159" s="12">
        <v>115.59288273952011</v>
      </c>
      <c r="K159" s="12"/>
      <c r="L159" s="12">
        <v>14.284564662822881</v>
      </c>
      <c r="M159" s="12">
        <v>211.55998664367559</v>
      </c>
      <c r="N159" s="12">
        <v>28.295914329543439</v>
      </c>
      <c r="O159" s="12">
        <v>0.45705495774696647</v>
      </c>
      <c r="P159" s="10" t="s">
        <v>168</v>
      </c>
      <c r="Q159" s="12">
        <v>44.563374725168813</v>
      </c>
      <c r="R159" s="12">
        <v>63.909216495598208</v>
      </c>
    </row>
    <row r="160" spans="1:18" ht="32.1" customHeight="1" x14ac:dyDescent="0.25">
      <c r="A160" s="10" t="s">
        <v>56</v>
      </c>
      <c r="B160" s="10" t="s">
        <v>94</v>
      </c>
      <c r="C160" s="10" t="s">
        <v>59</v>
      </c>
      <c r="D160" s="10" t="s">
        <v>63</v>
      </c>
      <c r="E160" s="10" t="s">
        <v>95</v>
      </c>
      <c r="F160" s="10" t="s">
        <v>169</v>
      </c>
      <c r="G160" s="11">
        <v>35</v>
      </c>
      <c r="H160" s="12">
        <v>65.600140736617504</v>
      </c>
      <c r="I160" s="12">
        <v>57.724269166227813</v>
      </c>
      <c r="J160" s="12">
        <v>131.64538786120909</v>
      </c>
      <c r="K160" s="12"/>
      <c r="L160" s="12">
        <v>22.006164967852929</v>
      </c>
      <c r="M160" s="12">
        <v>162.61776766305061</v>
      </c>
      <c r="N160" s="12">
        <v>33.196767133287658</v>
      </c>
      <c r="O160" s="12">
        <v>0.50604719380971497</v>
      </c>
      <c r="P160" s="10" t="s">
        <v>168</v>
      </c>
      <c r="Q160" s="12">
        <v>48.654881679399992</v>
      </c>
      <c r="R160" s="12">
        <v>67.600140736617504</v>
      </c>
    </row>
    <row r="161" spans="1:18" ht="32.1" customHeight="1" x14ac:dyDescent="0.25">
      <c r="A161" s="10" t="s">
        <v>56</v>
      </c>
      <c r="B161" s="10" t="s">
        <v>94</v>
      </c>
      <c r="C161" s="10" t="s">
        <v>59</v>
      </c>
      <c r="D161" s="10" t="s">
        <v>63</v>
      </c>
      <c r="E161" s="10" t="s">
        <v>96</v>
      </c>
      <c r="F161" s="10" t="s">
        <v>167</v>
      </c>
      <c r="G161" s="11">
        <v>542</v>
      </c>
      <c r="H161" s="12">
        <v>70.733400575737292</v>
      </c>
      <c r="I161" s="12">
        <v>65.089553508323448</v>
      </c>
      <c r="J161" s="12">
        <v>127.80673188719101</v>
      </c>
      <c r="K161" s="12"/>
      <c r="L161" s="12">
        <v>12.57129793033784</v>
      </c>
      <c r="M161" s="12">
        <v>436.02570557452901</v>
      </c>
      <c r="N161" s="12">
        <v>33.726837541218863</v>
      </c>
      <c r="O161" s="12">
        <v>0.47681628858075448</v>
      </c>
      <c r="P161" s="10" t="s">
        <v>168</v>
      </c>
      <c r="Q161" s="12">
        <v>50.823540322385078</v>
      </c>
      <c r="R161" s="12">
        <v>72.733400575737292</v>
      </c>
    </row>
    <row r="162" spans="1:18" ht="32.1" customHeight="1" x14ac:dyDescent="0.25">
      <c r="A162" s="10" t="s">
        <v>56</v>
      </c>
      <c r="B162" s="10" t="s">
        <v>94</v>
      </c>
      <c r="C162" s="10" t="s">
        <v>59</v>
      </c>
      <c r="D162" s="10" t="s">
        <v>63</v>
      </c>
      <c r="E162" s="10" t="s">
        <v>96</v>
      </c>
      <c r="F162" s="10" t="s">
        <v>169</v>
      </c>
      <c r="G162" s="11">
        <v>31</v>
      </c>
      <c r="H162" s="12">
        <v>76.206851664122496</v>
      </c>
      <c r="I162" s="12">
        <v>67.781639666559315</v>
      </c>
      <c r="J162" s="12">
        <v>136.59564338738579</v>
      </c>
      <c r="K162" s="12"/>
      <c r="L162" s="12">
        <v>21.591383873056198</v>
      </c>
      <c r="M162" s="12">
        <v>176.63119558333861</v>
      </c>
      <c r="N162" s="12">
        <v>35.963960530804243</v>
      </c>
      <c r="O162" s="12">
        <v>0.4719255519085529</v>
      </c>
      <c r="P162" s="10" t="s">
        <v>168</v>
      </c>
      <c r="Q162" s="12">
        <v>54.449728722544961</v>
      </c>
      <c r="R162" s="12">
        <v>78.206851664122496</v>
      </c>
    </row>
    <row r="163" spans="1:18" ht="32.1" customHeight="1" x14ac:dyDescent="0.25">
      <c r="A163" s="10" t="s">
        <v>56</v>
      </c>
      <c r="B163" s="10" t="s">
        <v>94</v>
      </c>
      <c r="C163" s="10" t="s">
        <v>59</v>
      </c>
      <c r="D163" s="10" t="s">
        <v>63</v>
      </c>
      <c r="E163" s="10" t="s">
        <v>97</v>
      </c>
      <c r="F163" s="10" t="s">
        <v>167</v>
      </c>
      <c r="G163" s="11">
        <v>565</v>
      </c>
      <c r="H163" s="12">
        <v>58.118474242666878</v>
      </c>
      <c r="I163" s="12">
        <v>53.365259790096538</v>
      </c>
      <c r="J163" s="12">
        <v>102.6963418309293</v>
      </c>
      <c r="K163" s="12"/>
      <c r="L163" s="12">
        <v>12.121005856884789</v>
      </c>
      <c r="M163" s="12">
        <v>619.40310306697222</v>
      </c>
      <c r="N163" s="12">
        <v>35.186972597006658</v>
      </c>
      <c r="O163" s="12">
        <v>0.60543524336319599</v>
      </c>
      <c r="P163" s="10" t="s">
        <v>168</v>
      </c>
      <c r="Q163" s="12">
        <v>42.066236383824801</v>
      </c>
      <c r="R163" s="12">
        <v>60.118474242666878</v>
      </c>
    </row>
    <row r="164" spans="1:18" ht="32.1" customHeight="1" x14ac:dyDescent="0.25">
      <c r="A164" s="10" t="s">
        <v>56</v>
      </c>
      <c r="B164" s="10" t="s">
        <v>94</v>
      </c>
      <c r="C164" s="10" t="s">
        <v>59</v>
      </c>
      <c r="D164" s="10" t="s">
        <v>63</v>
      </c>
      <c r="E164" s="10" t="s">
        <v>97</v>
      </c>
      <c r="F164" s="10" t="s">
        <v>169</v>
      </c>
      <c r="G164" s="11">
        <v>35</v>
      </c>
      <c r="H164" s="12">
        <v>59.848005092882872</v>
      </c>
      <c r="I164" s="12">
        <v>54.149418063316332</v>
      </c>
      <c r="J164" s="12">
        <v>103.9136221479837</v>
      </c>
      <c r="K164" s="12"/>
      <c r="L164" s="12">
        <v>20.844200906885341</v>
      </c>
      <c r="M164" s="12">
        <v>117.2471596465205</v>
      </c>
      <c r="N164" s="12">
        <v>24.541852978417921</v>
      </c>
      <c r="O164" s="12">
        <v>0.41006969138452443</v>
      </c>
      <c r="P164" s="10" t="s">
        <v>168</v>
      </c>
      <c r="Q164" s="12">
        <v>43.520219292827129</v>
      </c>
      <c r="R164" s="12">
        <v>61.848005092882872</v>
      </c>
    </row>
    <row r="165" spans="1:18" ht="32.1" customHeight="1" x14ac:dyDescent="0.25">
      <c r="A165" s="10" t="s">
        <v>56</v>
      </c>
      <c r="B165" s="10" t="s">
        <v>94</v>
      </c>
      <c r="C165" s="10" t="s">
        <v>59</v>
      </c>
      <c r="D165" s="10" t="s">
        <v>63</v>
      </c>
      <c r="E165" s="10" t="s">
        <v>98</v>
      </c>
      <c r="F165" s="10" t="s">
        <v>167</v>
      </c>
      <c r="G165" s="11">
        <v>553</v>
      </c>
      <c r="H165" s="12">
        <v>64.930349293696437</v>
      </c>
      <c r="I165" s="12">
        <v>61.487197490476042</v>
      </c>
      <c r="J165" s="12">
        <v>118.5582059024637</v>
      </c>
      <c r="K165" s="12"/>
      <c r="L165" s="12">
        <v>10.89317696293201</v>
      </c>
      <c r="M165" s="12">
        <v>269.41706612911452</v>
      </c>
      <c r="N165" s="12">
        <v>30.071214346264931</v>
      </c>
      <c r="O165" s="12">
        <v>0.4631303338635252</v>
      </c>
      <c r="P165" s="10" t="s">
        <v>168</v>
      </c>
      <c r="Q165" s="12">
        <v>46.737986489759287</v>
      </c>
      <c r="R165" s="12">
        <v>66.930349293696437</v>
      </c>
    </row>
    <row r="166" spans="1:18" ht="32.1" customHeight="1" x14ac:dyDescent="0.25">
      <c r="A166" s="10" t="s">
        <v>56</v>
      </c>
      <c r="B166" s="10" t="s">
        <v>94</v>
      </c>
      <c r="C166" s="10" t="s">
        <v>59</v>
      </c>
      <c r="D166" s="10" t="s">
        <v>63</v>
      </c>
      <c r="E166" s="10" t="s">
        <v>98</v>
      </c>
      <c r="F166" s="10" t="s">
        <v>169</v>
      </c>
      <c r="G166" s="11">
        <v>37</v>
      </c>
      <c r="H166" s="12">
        <v>62.616973340639817</v>
      </c>
      <c r="I166" s="12">
        <v>60.122805783829847</v>
      </c>
      <c r="J166" s="12">
        <v>104.8930981275206</v>
      </c>
      <c r="K166" s="12"/>
      <c r="L166" s="12">
        <v>23.31704151294117</v>
      </c>
      <c r="M166" s="12">
        <v>114.87332576271</v>
      </c>
      <c r="N166" s="12">
        <v>21.183462180550251</v>
      </c>
      <c r="O166" s="12">
        <v>0.33830223740312459</v>
      </c>
      <c r="P166" s="10" t="s">
        <v>168</v>
      </c>
      <c r="Q166" s="12">
        <v>44.6596433062291</v>
      </c>
      <c r="R166" s="12">
        <v>64.616973340639817</v>
      </c>
    </row>
    <row r="167" spans="1:18" ht="32.1" customHeight="1" x14ac:dyDescent="0.25">
      <c r="A167" s="10" t="s">
        <v>56</v>
      </c>
      <c r="B167" s="10" t="s">
        <v>94</v>
      </c>
      <c r="C167" s="10" t="s">
        <v>59</v>
      </c>
      <c r="D167" s="10" t="s">
        <v>64</v>
      </c>
      <c r="E167" s="10" t="s">
        <v>93</v>
      </c>
      <c r="F167" s="10" t="s">
        <v>167</v>
      </c>
      <c r="G167" s="11">
        <v>170</v>
      </c>
      <c r="H167" s="12">
        <v>112.86785003635001</v>
      </c>
      <c r="I167" s="12">
        <v>100.482666313433</v>
      </c>
      <c r="J167" s="12">
        <v>182.90498369451981</v>
      </c>
      <c r="K167" s="12"/>
      <c r="L167" s="12">
        <v>23.888080303620089</v>
      </c>
      <c r="M167" s="12">
        <v>1077.1306096290141</v>
      </c>
      <c r="N167" s="12">
        <v>99.525086285382002</v>
      </c>
      <c r="O167" s="12">
        <v>0.88178419499732741</v>
      </c>
      <c r="P167" s="10" t="s">
        <v>168</v>
      </c>
      <c r="Q167" s="12">
        <v>82.148923794318861</v>
      </c>
      <c r="R167" s="12">
        <v>114.86785003635001</v>
      </c>
    </row>
    <row r="168" spans="1:18" ht="32.1" customHeight="1" x14ac:dyDescent="0.25">
      <c r="A168" s="10" t="s">
        <v>56</v>
      </c>
      <c r="B168" s="10" t="s">
        <v>94</v>
      </c>
      <c r="C168" s="10" t="s">
        <v>59</v>
      </c>
      <c r="D168" s="10" t="s">
        <v>64</v>
      </c>
      <c r="E168" s="10" t="s">
        <v>93</v>
      </c>
      <c r="F168" s="10" t="s">
        <v>169</v>
      </c>
      <c r="G168" s="11">
        <v>11</v>
      </c>
      <c r="H168" s="12">
        <v>93.716482374381883</v>
      </c>
      <c r="I168" s="12">
        <v>93.508961635063514</v>
      </c>
      <c r="J168" s="12"/>
      <c r="K168" s="12"/>
      <c r="L168" s="12">
        <v>39.362287390003708</v>
      </c>
      <c r="M168" s="12">
        <v>145.68937629388159</v>
      </c>
      <c r="N168" s="12">
        <v>32.069320853932979</v>
      </c>
      <c r="O168" s="12">
        <v>0.34219509782517588</v>
      </c>
      <c r="P168" s="10" t="s">
        <v>168</v>
      </c>
      <c r="Q168" s="12">
        <v>67.475867309554943</v>
      </c>
      <c r="R168" s="12">
        <v>95.716482374381883</v>
      </c>
    </row>
    <row r="169" spans="1:18" ht="32.1" customHeight="1" x14ac:dyDescent="0.25">
      <c r="A169" s="10" t="s">
        <v>56</v>
      </c>
      <c r="B169" s="10" t="s">
        <v>94</v>
      </c>
      <c r="C169" s="10" t="s">
        <v>59</v>
      </c>
      <c r="D169" s="10" t="s">
        <v>64</v>
      </c>
      <c r="E169" s="10" t="s">
        <v>95</v>
      </c>
      <c r="F169" s="10" t="s">
        <v>167</v>
      </c>
      <c r="G169" s="11">
        <v>152</v>
      </c>
      <c r="H169" s="12">
        <v>87.977202692570586</v>
      </c>
      <c r="I169" s="12">
        <v>85.800492682574884</v>
      </c>
      <c r="J169" s="12">
        <v>156.404733142249</v>
      </c>
      <c r="K169" s="12"/>
      <c r="L169" s="12">
        <v>19.174535978055129</v>
      </c>
      <c r="M169" s="12">
        <v>244.88436335362161</v>
      </c>
      <c r="N169" s="12">
        <v>38.363491322113092</v>
      </c>
      <c r="O169" s="12">
        <v>0.43606173131204562</v>
      </c>
      <c r="P169" s="10" t="s">
        <v>168</v>
      </c>
      <c r="Q169" s="12">
        <v>63.029046232920798</v>
      </c>
      <c r="R169" s="12">
        <v>89.977202692570586</v>
      </c>
    </row>
    <row r="170" spans="1:18" ht="32.1" customHeight="1" x14ac:dyDescent="0.25">
      <c r="A170" s="10" t="s">
        <v>56</v>
      </c>
      <c r="B170" s="10" t="s">
        <v>94</v>
      </c>
      <c r="C170" s="10" t="s">
        <v>59</v>
      </c>
      <c r="D170" s="10" t="s">
        <v>64</v>
      </c>
      <c r="E170" s="10" t="s">
        <v>95</v>
      </c>
      <c r="F170" s="10" t="s">
        <v>169</v>
      </c>
      <c r="G170" s="11">
        <v>15</v>
      </c>
      <c r="H170" s="12">
        <v>89.344471972481401</v>
      </c>
      <c r="I170" s="12">
        <v>85.201579803997532</v>
      </c>
      <c r="J170" s="12"/>
      <c r="K170" s="12"/>
      <c r="L170" s="12">
        <v>34.550097892924519</v>
      </c>
      <c r="M170" s="12">
        <v>170.56188502768299</v>
      </c>
      <c r="N170" s="12">
        <v>38.586367061720907</v>
      </c>
      <c r="O170" s="12">
        <v>0.43188309483328441</v>
      </c>
      <c r="P170" s="10" t="s">
        <v>168</v>
      </c>
      <c r="Q170" s="12">
        <v>64.328019820186611</v>
      </c>
      <c r="R170" s="12">
        <v>91.344471972481401</v>
      </c>
    </row>
    <row r="171" spans="1:18" ht="32.1" customHeight="1" x14ac:dyDescent="0.25">
      <c r="A171" s="10" t="s">
        <v>56</v>
      </c>
      <c r="B171" s="10" t="s">
        <v>94</v>
      </c>
      <c r="C171" s="10" t="s">
        <v>59</v>
      </c>
      <c r="D171" s="10" t="s">
        <v>64</v>
      </c>
      <c r="E171" s="10" t="s">
        <v>96</v>
      </c>
      <c r="F171" s="10" t="s">
        <v>167</v>
      </c>
      <c r="G171" s="11">
        <v>166</v>
      </c>
      <c r="H171" s="12">
        <v>105.6837466984604</v>
      </c>
      <c r="I171" s="12">
        <v>99.607304457103538</v>
      </c>
      <c r="J171" s="12">
        <v>200.60933255614049</v>
      </c>
      <c r="K171" s="12"/>
      <c r="L171" s="12">
        <v>31.289886953519421</v>
      </c>
      <c r="M171" s="12">
        <v>348.05617781194718</v>
      </c>
      <c r="N171" s="12">
        <v>49.310680898213228</v>
      </c>
      <c r="O171" s="12">
        <v>0.46658717578311981</v>
      </c>
      <c r="P171" s="10" t="s">
        <v>168</v>
      </c>
      <c r="Q171" s="12">
        <v>75.339321167087093</v>
      </c>
      <c r="R171" s="12">
        <v>107.6837466984604</v>
      </c>
    </row>
    <row r="172" spans="1:18" ht="32.1" customHeight="1" x14ac:dyDescent="0.25">
      <c r="A172" s="10" t="s">
        <v>56</v>
      </c>
      <c r="B172" s="10" t="s">
        <v>94</v>
      </c>
      <c r="C172" s="10" t="s">
        <v>59</v>
      </c>
      <c r="D172" s="10" t="s">
        <v>64</v>
      </c>
      <c r="E172" s="10" t="s">
        <v>96</v>
      </c>
      <c r="F172" s="10" t="s">
        <v>169</v>
      </c>
      <c r="G172" s="11">
        <v>9</v>
      </c>
      <c r="H172" s="12">
        <v>85.575022690495842</v>
      </c>
      <c r="I172" s="12">
        <v>69.666421288951639</v>
      </c>
      <c r="J172" s="12"/>
      <c r="K172" s="12"/>
      <c r="L172" s="12">
        <v>49.704457739564802</v>
      </c>
      <c r="M172" s="12">
        <v>134.62529658786741</v>
      </c>
      <c r="N172" s="12">
        <v>31.474465126401899</v>
      </c>
      <c r="O172" s="12">
        <v>0.36779967024066629</v>
      </c>
      <c r="P172" s="10" t="s">
        <v>168</v>
      </c>
      <c r="Q172" s="12">
        <v>61.614016337157011</v>
      </c>
      <c r="R172" s="12">
        <v>87.575022690495842</v>
      </c>
    </row>
    <row r="173" spans="1:18" ht="32.1" customHeight="1" x14ac:dyDescent="0.25">
      <c r="A173" s="10" t="s">
        <v>56</v>
      </c>
      <c r="B173" s="10" t="s">
        <v>94</v>
      </c>
      <c r="C173" s="10" t="s">
        <v>59</v>
      </c>
      <c r="D173" s="10" t="s">
        <v>64</v>
      </c>
      <c r="E173" s="10" t="s">
        <v>97</v>
      </c>
      <c r="F173" s="10" t="s">
        <v>167</v>
      </c>
      <c r="G173" s="11">
        <v>145</v>
      </c>
      <c r="H173" s="12">
        <v>106.70646696035</v>
      </c>
      <c r="I173" s="12">
        <v>83.405749582249101</v>
      </c>
      <c r="J173" s="12">
        <v>159.51770898224879</v>
      </c>
      <c r="K173" s="12"/>
      <c r="L173" s="12">
        <v>25.708003721224401</v>
      </c>
      <c r="M173" s="12">
        <v>1895.8259251671579</v>
      </c>
      <c r="N173" s="12">
        <v>170.3624389129329</v>
      </c>
      <c r="O173" s="12">
        <v>1.5965521468931789</v>
      </c>
      <c r="P173" s="10" t="s">
        <v>168</v>
      </c>
      <c r="Q173" s="12">
        <v>76.966164454215658</v>
      </c>
      <c r="R173" s="12">
        <v>108.70646696035</v>
      </c>
    </row>
    <row r="174" spans="1:18" ht="32.1" customHeight="1" x14ac:dyDescent="0.25">
      <c r="A174" s="10" t="s">
        <v>56</v>
      </c>
      <c r="B174" s="10" t="s">
        <v>94</v>
      </c>
      <c r="C174" s="10" t="s">
        <v>59</v>
      </c>
      <c r="D174" s="10" t="s">
        <v>64</v>
      </c>
      <c r="E174" s="10" t="s">
        <v>97</v>
      </c>
      <c r="F174" s="10" t="s">
        <v>169</v>
      </c>
      <c r="G174" s="11">
        <v>12</v>
      </c>
      <c r="H174" s="12">
        <v>101.97478303897201</v>
      </c>
      <c r="I174" s="12">
        <v>94.2611767024719</v>
      </c>
      <c r="J174" s="12"/>
      <c r="K174" s="12"/>
      <c r="L174" s="12">
        <v>35.577272689002839</v>
      </c>
      <c r="M174" s="12">
        <v>186.2865676420322</v>
      </c>
      <c r="N174" s="12">
        <v>45.03504865323049</v>
      </c>
      <c r="O174" s="12">
        <v>0.44162926667879582</v>
      </c>
      <c r="P174" s="10" t="s">
        <v>168</v>
      </c>
      <c r="Q174" s="12">
        <v>73.421843788059789</v>
      </c>
      <c r="R174" s="12">
        <v>103.97478303897201</v>
      </c>
    </row>
    <row r="175" spans="1:18" ht="32.1" customHeight="1" x14ac:dyDescent="0.25">
      <c r="A175" s="10" t="s">
        <v>56</v>
      </c>
      <c r="B175" s="10" t="s">
        <v>94</v>
      </c>
      <c r="C175" s="10" t="s">
        <v>59</v>
      </c>
      <c r="D175" s="10" t="s">
        <v>64</v>
      </c>
      <c r="E175" s="10" t="s">
        <v>98</v>
      </c>
      <c r="F175" s="10" t="s">
        <v>167</v>
      </c>
      <c r="G175" s="11">
        <v>150</v>
      </c>
      <c r="H175" s="12">
        <v>91.454184463197478</v>
      </c>
      <c r="I175" s="12">
        <v>87.457996296143449</v>
      </c>
      <c r="J175" s="12">
        <v>156.53904202878479</v>
      </c>
      <c r="K175" s="12"/>
      <c r="L175" s="12">
        <v>18.210130147230849</v>
      </c>
      <c r="M175" s="12">
        <v>260.8774167384064</v>
      </c>
      <c r="N175" s="12">
        <v>41.007480389406041</v>
      </c>
      <c r="O175" s="12">
        <v>0.44839370259660521</v>
      </c>
      <c r="P175" s="10" t="s">
        <v>168</v>
      </c>
      <c r="Q175" s="12">
        <v>65.538016794881372</v>
      </c>
      <c r="R175" s="12">
        <v>93.454184463197478</v>
      </c>
    </row>
    <row r="176" spans="1:18" ht="32.1" customHeight="1" x14ac:dyDescent="0.25">
      <c r="A176" s="10" t="s">
        <v>56</v>
      </c>
      <c r="B176" s="10" t="s">
        <v>94</v>
      </c>
      <c r="C176" s="10" t="s">
        <v>59</v>
      </c>
      <c r="D176" s="10" t="s">
        <v>64</v>
      </c>
      <c r="E176" s="10" t="s">
        <v>98</v>
      </c>
      <c r="F176" s="10" t="s">
        <v>169</v>
      </c>
      <c r="G176" s="11">
        <v>5</v>
      </c>
      <c r="H176" s="12">
        <v>91.775397521324507</v>
      </c>
      <c r="I176" s="12">
        <v>92.009920860049604</v>
      </c>
      <c r="J176" s="12"/>
      <c r="K176" s="12"/>
      <c r="L176" s="12">
        <v>46.743517022957349</v>
      </c>
      <c r="M176" s="12">
        <v>161.54817526578961</v>
      </c>
      <c r="N176" s="12">
        <v>44.349277891374648</v>
      </c>
      <c r="O176" s="12">
        <v>0.4832371102622558</v>
      </c>
      <c r="P176" s="10" t="s">
        <v>168</v>
      </c>
      <c r="Q176" s="12">
        <v>66.078286215353643</v>
      </c>
      <c r="R176" s="12">
        <v>93.775397521324521</v>
      </c>
    </row>
    <row r="177" spans="1:18" ht="32.1" customHeight="1" x14ac:dyDescent="0.25">
      <c r="A177" s="10" t="s">
        <v>56</v>
      </c>
      <c r="B177" s="10" t="s">
        <v>94</v>
      </c>
      <c r="C177" s="10" t="s">
        <v>70</v>
      </c>
      <c r="D177" s="10" t="s">
        <v>62</v>
      </c>
      <c r="E177" s="10" t="s">
        <v>99</v>
      </c>
      <c r="F177" s="10" t="s">
        <v>167</v>
      </c>
      <c r="G177" s="11">
        <v>2</v>
      </c>
      <c r="H177" s="12">
        <v>81.248610021037507</v>
      </c>
      <c r="I177" s="12">
        <v>81.248610021037507</v>
      </c>
      <c r="J177" s="12"/>
      <c r="K177" s="12"/>
      <c r="L177" s="12">
        <v>69.546626006896162</v>
      </c>
      <c r="M177" s="12">
        <v>92.950594035178881</v>
      </c>
      <c r="N177" s="12">
        <v>16.549104499471849</v>
      </c>
      <c r="O177" s="12">
        <v>0.2036847706709915</v>
      </c>
      <c r="P177" s="10" t="s">
        <v>168</v>
      </c>
      <c r="Q177" s="12">
        <v>66.924427705328782</v>
      </c>
      <c r="R177" s="12">
        <v>83.248610021037521</v>
      </c>
    </row>
    <row r="178" spans="1:18" ht="32.1" customHeight="1" x14ac:dyDescent="0.25">
      <c r="A178" s="10" t="s">
        <v>56</v>
      </c>
      <c r="B178" s="10" t="s">
        <v>94</v>
      </c>
      <c r="C178" s="10" t="s">
        <v>70</v>
      </c>
      <c r="D178" s="10" t="s">
        <v>62</v>
      </c>
      <c r="E178" s="10" t="s">
        <v>100</v>
      </c>
      <c r="F178" s="10" t="s">
        <v>167</v>
      </c>
      <c r="G178" s="11">
        <v>5</v>
      </c>
      <c r="H178" s="12">
        <v>105.57885211155281</v>
      </c>
      <c r="I178" s="12">
        <v>106.90243734179251</v>
      </c>
      <c r="J178" s="12"/>
      <c r="K178" s="12"/>
      <c r="L178" s="12">
        <v>57.814399287363401</v>
      </c>
      <c r="M178" s="12">
        <v>162.9205979250452</v>
      </c>
      <c r="N178" s="12">
        <v>45.344428696150914</v>
      </c>
      <c r="O178" s="12">
        <v>0.42948400924307051</v>
      </c>
      <c r="P178" s="10" t="s">
        <v>168</v>
      </c>
      <c r="Q178" s="12">
        <v>76.016773520318011</v>
      </c>
      <c r="R178" s="12">
        <v>107.57885211155281</v>
      </c>
    </row>
    <row r="179" spans="1:18" ht="32.1" customHeight="1" x14ac:dyDescent="0.25">
      <c r="A179" s="10" t="s">
        <v>56</v>
      </c>
      <c r="B179" s="10" t="s">
        <v>94</v>
      </c>
      <c r="C179" s="10" t="s">
        <v>70</v>
      </c>
      <c r="D179" s="10" t="s">
        <v>62</v>
      </c>
      <c r="E179" s="10" t="s">
        <v>101</v>
      </c>
      <c r="F179" s="10" t="s">
        <v>167</v>
      </c>
      <c r="G179" s="11">
        <v>3</v>
      </c>
      <c r="H179" s="12">
        <v>95.938079351801122</v>
      </c>
      <c r="I179" s="12">
        <v>106.0944562978087</v>
      </c>
      <c r="J179" s="12"/>
      <c r="K179" s="12"/>
      <c r="L179" s="12">
        <v>73.335811725809819</v>
      </c>
      <c r="M179" s="12">
        <v>108.3839700317848</v>
      </c>
      <c r="N179" s="12">
        <v>19.607583855799689</v>
      </c>
      <c r="O179" s="12">
        <v>0.20437749002561811</v>
      </c>
      <c r="P179" s="10" t="s">
        <v>168</v>
      </c>
      <c r="Q179" s="12">
        <v>69.075417133296796</v>
      </c>
      <c r="R179" s="12">
        <v>97.938079351801122</v>
      </c>
    </row>
    <row r="180" spans="1:18" ht="32.1" customHeight="1" x14ac:dyDescent="0.25">
      <c r="A180" s="10" t="s">
        <v>56</v>
      </c>
      <c r="B180" s="10" t="s">
        <v>94</v>
      </c>
      <c r="C180" s="10" t="s">
        <v>70</v>
      </c>
      <c r="D180" s="10" t="s">
        <v>62</v>
      </c>
      <c r="E180" s="10" t="s">
        <v>102</v>
      </c>
      <c r="F180" s="10" t="s">
        <v>167</v>
      </c>
      <c r="G180" s="11">
        <v>3</v>
      </c>
      <c r="H180" s="12">
        <v>156.18596061003831</v>
      </c>
      <c r="I180" s="12">
        <v>159.71166426903201</v>
      </c>
      <c r="J180" s="12"/>
      <c r="K180" s="12"/>
      <c r="L180" s="12">
        <v>146.5669013211772</v>
      </c>
      <c r="M180" s="12">
        <v>162.2793162399056</v>
      </c>
      <c r="N180" s="12">
        <v>8.4286971331784386</v>
      </c>
      <c r="O180" s="12">
        <v>5.3965779640226599E-2</v>
      </c>
      <c r="P180" s="10" t="s">
        <v>168</v>
      </c>
      <c r="Q180" s="12">
        <v>112.45389163922751</v>
      </c>
      <c r="R180" s="12">
        <v>158.18596061003831</v>
      </c>
    </row>
    <row r="181" spans="1:18" ht="32.1" customHeight="1" x14ac:dyDescent="0.25">
      <c r="A181" s="10" t="s">
        <v>56</v>
      </c>
      <c r="B181" s="10" t="s">
        <v>94</v>
      </c>
      <c r="C181" s="10" t="s">
        <v>70</v>
      </c>
      <c r="D181" s="10" t="s">
        <v>62</v>
      </c>
      <c r="E181" s="10" t="s">
        <v>103</v>
      </c>
      <c r="F181" s="10" t="s">
        <v>167</v>
      </c>
      <c r="G181" s="11">
        <v>3</v>
      </c>
      <c r="H181" s="12">
        <v>68.813916987285666</v>
      </c>
      <c r="I181" s="12">
        <v>67.608156992390477</v>
      </c>
      <c r="J181" s="12"/>
      <c r="K181" s="12"/>
      <c r="L181" s="12">
        <v>53.448233086891463</v>
      </c>
      <c r="M181" s="12">
        <v>85.385360882575057</v>
      </c>
      <c r="N181" s="12">
        <v>16.002669334627392</v>
      </c>
      <c r="O181" s="12">
        <v>0.2325498973933442</v>
      </c>
      <c r="P181" s="10" t="s">
        <v>168</v>
      </c>
      <c r="Q181" s="12">
        <v>49.546020230845677</v>
      </c>
      <c r="R181" s="12">
        <v>70.813916987285666</v>
      </c>
    </row>
    <row r="182" spans="1:18" ht="32.1" customHeight="1" x14ac:dyDescent="0.25">
      <c r="A182" s="10" t="s">
        <v>56</v>
      </c>
      <c r="B182" s="10" t="s">
        <v>94</v>
      </c>
      <c r="C182" s="10" t="s">
        <v>70</v>
      </c>
      <c r="D182" s="10" t="s">
        <v>63</v>
      </c>
      <c r="E182" s="10" t="s">
        <v>99</v>
      </c>
      <c r="F182" s="10" t="s">
        <v>167</v>
      </c>
      <c r="G182" s="11">
        <v>12</v>
      </c>
      <c r="H182" s="12">
        <v>34.627801424695647</v>
      </c>
      <c r="I182" s="12">
        <v>30.477534904080709</v>
      </c>
      <c r="J182" s="12"/>
      <c r="K182" s="12"/>
      <c r="L182" s="12">
        <v>22.77984829748215</v>
      </c>
      <c r="M182" s="12">
        <v>60.865459580763179</v>
      </c>
      <c r="N182" s="12">
        <v>10.80483517120456</v>
      </c>
      <c r="O182" s="12">
        <v>0.31202775592616261</v>
      </c>
      <c r="P182" s="10" t="s">
        <v>168</v>
      </c>
      <c r="Q182" s="12">
        <v>24.932017025780869</v>
      </c>
      <c r="R182" s="12">
        <v>36.627801424695647</v>
      </c>
    </row>
    <row r="183" spans="1:18" ht="32.1" customHeight="1" x14ac:dyDescent="0.25">
      <c r="A183" s="10" t="s">
        <v>56</v>
      </c>
      <c r="B183" s="10" t="s">
        <v>94</v>
      </c>
      <c r="C183" s="10" t="s">
        <v>70</v>
      </c>
      <c r="D183" s="10" t="s">
        <v>63</v>
      </c>
      <c r="E183" s="10" t="s">
        <v>99</v>
      </c>
      <c r="F183" s="10" t="s">
        <v>169</v>
      </c>
      <c r="G183" s="11">
        <v>2</v>
      </c>
      <c r="H183" s="12">
        <v>33.075976227246279</v>
      </c>
      <c r="I183" s="12">
        <v>33.075976227246279</v>
      </c>
      <c r="J183" s="12"/>
      <c r="K183" s="12"/>
      <c r="L183" s="12">
        <v>24.390661004102089</v>
      </c>
      <c r="M183" s="12">
        <v>41.761291450390473</v>
      </c>
      <c r="N183" s="12">
        <v>12.282890582056019</v>
      </c>
      <c r="O183" s="12">
        <v>0.37135383390250509</v>
      </c>
      <c r="P183" s="10" t="s">
        <v>168</v>
      </c>
      <c r="Q183" s="12">
        <v>23.814702883617318</v>
      </c>
      <c r="R183" s="12">
        <v>35.075976227246279</v>
      </c>
    </row>
    <row r="184" spans="1:18" ht="32.1" customHeight="1" x14ac:dyDescent="0.25">
      <c r="A184" s="10" t="s">
        <v>56</v>
      </c>
      <c r="B184" s="10" t="s">
        <v>94</v>
      </c>
      <c r="C184" s="10" t="s">
        <v>70</v>
      </c>
      <c r="D184" s="10" t="s">
        <v>63</v>
      </c>
      <c r="E184" s="10" t="s">
        <v>100</v>
      </c>
      <c r="F184" s="10" t="s">
        <v>167</v>
      </c>
      <c r="G184" s="11">
        <v>11</v>
      </c>
      <c r="H184" s="12">
        <v>24.977447710643499</v>
      </c>
      <c r="I184" s="12">
        <v>24.985562336364051</v>
      </c>
      <c r="J184" s="12"/>
      <c r="K184" s="12"/>
      <c r="L184" s="12">
        <v>12.09339027855075</v>
      </c>
      <c r="M184" s="12">
        <v>39.166872966999371</v>
      </c>
      <c r="N184" s="12">
        <v>7.7504682706030934</v>
      </c>
      <c r="O184" s="12">
        <v>0.31029864862054862</v>
      </c>
      <c r="P184" s="10" t="s">
        <v>168</v>
      </c>
      <c r="Q184" s="12">
        <v>18.00128119130563</v>
      </c>
      <c r="R184" s="12">
        <v>26.977447710643499</v>
      </c>
    </row>
    <row r="185" spans="1:18" ht="32.1" customHeight="1" x14ac:dyDescent="0.25">
      <c r="A185" s="10" t="s">
        <v>56</v>
      </c>
      <c r="B185" s="10" t="s">
        <v>94</v>
      </c>
      <c r="C185" s="10" t="s">
        <v>70</v>
      </c>
      <c r="D185" s="10" t="s">
        <v>63</v>
      </c>
      <c r="E185" s="10" t="s">
        <v>101</v>
      </c>
      <c r="F185" s="10" t="s">
        <v>167</v>
      </c>
      <c r="G185" s="11">
        <v>15</v>
      </c>
      <c r="H185" s="12">
        <v>41.611175991701003</v>
      </c>
      <c r="I185" s="12">
        <v>42.147177915214051</v>
      </c>
      <c r="J185" s="12"/>
      <c r="K185" s="12"/>
      <c r="L185" s="12">
        <v>20.232514815965661</v>
      </c>
      <c r="M185" s="12">
        <v>64.516779519656424</v>
      </c>
      <c r="N185" s="12">
        <v>11.961004536685101</v>
      </c>
      <c r="O185" s="12">
        <v>0.28744692385215498</v>
      </c>
      <c r="P185" s="10" t="s">
        <v>168</v>
      </c>
      <c r="Q185" s="12">
        <v>29.96004671402472</v>
      </c>
      <c r="R185" s="12">
        <v>43.611175991701003</v>
      </c>
    </row>
    <row r="186" spans="1:18" ht="32.1" customHeight="1" x14ac:dyDescent="0.25">
      <c r="A186" s="10" t="s">
        <v>56</v>
      </c>
      <c r="B186" s="10" t="s">
        <v>94</v>
      </c>
      <c r="C186" s="10" t="s">
        <v>70</v>
      </c>
      <c r="D186" s="10" t="s">
        <v>63</v>
      </c>
      <c r="E186" s="10" t="s">
        <v>101</v>
      </c>
      <c r="F186" s="10" t="s">
        <v>169</v>
      </c>
      <c r="G186" s="11">
        <v>1</v>
      </c>
      <c r="H186" s="12">
        <v>32.18801113030252</v>
      </c>
      <c r="I186" s="12">
        <v>32.18801113030252</v>
      </c>
      <c r="J186" s="12"/>
      <c r="K186" s="12"/>
      <c r="L186" s="12">
        <v>32.18801113030252</v>
      </c>
      <c r="M186" s="12">
        <v>32.18801113030252</v>
      </c>
      <c r="N186" s="12"/>
      <c r="O186" s="12"/>
      <c r="P186" s="10" t="s">
        <v>168</v>
      </c>
      <c r="Q186" s="12">
        <v>23.17536801381781</v>
      </c>
      <c r="R186" s="12">
        <v>34.18801113030252</v>
      </c>
    </row>
    <row r="187" spans="1:18" ht="32.1" customHeight="1" x14ac:dyDescent="0.25">
      <c r="A187" s="10" t="s">
        <v>56</v>
      </c>
      <c r="B187" s="10" t="s">
        <v>94</v>
      </c>
      <c r="C187" s="10" t="s">
        <v>70</v>
      </c>
      <c r="D187" s="10" t="s">
        <v>63</v>
      </c>
      <c r="E187" s="10" t="s">
        <v>102</v>
      </c>
      <c r="F187" s="10" t="s">
        <v>167</v>
      </c>
      <c r="G187" s="11">
        <v>12</v>
      </c>
      <c r="H187" s="12">
        <v>35.667511822289669</v>
      </c>
      <c r="I187" s="12">
        <v>31.061625196019801</v>
      </c>
      <c r="J187" s="12"/>
      <c r="K187" s="12"/>
      <c r="L187" s="12">
        <v>17.947939282082231</v>
      </c>
      <c r="M187" s="12">
        <v>58.078353803247332</v>
      </c>
      <c r="N187" s="12">
        <v>12.111872870987071</v>
      </c>
      <c r="O187" s="12">
        <v>0.33957717407744731</v>
      </c>
      <c r="P187" s="10" t="s">
        <v>168</v>
      </c>
      <c r="Q187" s="12">
        <v>25.680608512048561</v>
      </c>
      <c r="R187" s="12">
        <v>37.667511822289683</v>
      </c>
    </row>
    <row r="188" spans="1:18" ht="32.1" customHeight="1" x14ac:dyDescent="0.25">
      <c r="A188" s="10" t="s">
        <v>56</v>
      </c>
      <c r="B188" s="10" t="s">
        <v>94</v>
      </c>
      <c r="C188" s="10" t="s">
        <v>70</v>
      </c>
      <c r="D188" s="10" t="s">
        <v>63</v>
      </c>
      <c r="E188" s="10" t="s">
        <v>102</v>
      </c>
      <c r="F188" s="10" t="s">
        <v>169</v>
      </c>
      <c r="G188" s="11">
        <v>1</v>
      </c>
      <c r="H188" s="12">
        <v>35.146233153183587</v>
      </c>
      <c r="I188" s="12">
        <v>35.146233153183587</v>
      </c>
      <c r="J188" s="12"/>
      <c r="K188" s="12"/>
      <c r="L188" s="12">
        <v>35.146233153183587</v>
      </c>
      <c r="M188" s="12">
        <v>35.146233153183587</v>
      </c>
      <c r="N188" s="12"/>
      <c r="O188" s="12"/>
      <c r="P188" s="10" t="s">
        <v>168</v>
      </c>
      <c r="Q188" s="12">
        <v>25.30528787029218</v>
      </c>
      <c r="R188" s="12">
        <v>37.146233153183587</v>
      </c>
    </row>
    <row r="189" spans="1:18" ht="32.1" customHeight="1" x14ac:dyDescent="0.25">
      <c r="A189" s="10" t="s">
        <v>56</v>
      </c>
      <c r="B189" s="10" t="s">
        <v>94</v>
      </c>
      <c r="C189" s="10" t="s">
        <v>70</v>
      </c>
      <c r="D189" s="10" t="s">
        <v>63</v>
      </c>
      <c r="E189" s="10" t="s">
        <v>103</v>
      </c>
      <c r="F189" s="10" t="s">
        <v>167</v>
      </c>
      <c r="G189" s="11">
        <v>14</v>
      </c>
      <c r="H189" s="12">
        <v>31.967976269920602</v>
      </c>
      <c r="I189" s="12">
        <v>29.440490646259569</v>
      </c>
      <c r="J189" s="12"/>
      <c r="K189" s="12"/>
      <c r="L189" s="12">
        <v>12.1054170481368</v>
      </c>
      <c r="M189" s="12">
        <v>53.206379282749367</v>
      </c>
      <c r="N189" s="12">
        <v>11.284475101984709</v>
      </c>
      <c r="O189" s="12">
        <v>0.3529931018061514</v>
      </c>
      <c r="P189" s="10" t="s">
        <v>168</v>
      </c>
      <c r="Q189" s="12">
        <v>24.117023117395469</v>
      </c>
      <c r="R189" s="12">
        <v>33.967976269920612</v>
      </c>
    </row>
    <row r="190" spans="1:18" ht="32.1" customHeight="1" x14ac:dyDescent="0.25">
      <c r="A190" s="10" t="s">
        <v>56</v>
      </c>
      <c r="B190" s="10" t="s">
        <v>94</v>
      </c>
      <c r="C190" s="10" t="s">
        <v>70</v>
      </c>
      <c r="D190" s="10" t="s">
        <v>63</v>
      </c>
      <c r="E190" s="10" t="s">
        <v>103</v>
      </c>
      <c r="F190" s="10" t="s">
        <v>169</v>
      </c>
      <c r="G190" s="11">
        <v>1</v>
      </c>
      <c r="H190" s="12">
        <v>26.253718710656919</v>
      </c>
      <c r="I190" s="12">
        <v>26.253718710656919</v>
      </c>
      <c r="J190" s="12"/>
      <c r="K190" s="12"/>
      <c r="L190" s="12">
        <v>26.253718710656919</v>
      </c>
      <c r="M190" s="12">
        <v>26.253718710656919</v>
      </c>
      <c r="N190" s="12"/>
      <c r="O190" s="12"/>
      <c r="P190" s="10" t="s">
        <v>168</v>
      </c>
      <c r="Q190" s="12"/>
      <c r="R190" s="12">
        <v>28.253718710656919</v>
      </c>
    </row>
    <row r="191" spans="1:18" ht="32.1" customHeight="1" x14ac:dyDescent="0.25">
      <c r="A191" s="10" t="s">
        <v>56</v>
      </c>
      <c r="B191" s="10" t="s">
        <v>94</v>
      </c>
      <c r="C191" s="10" t="s">
        <v>70</v>
      </c>
      <c r="D191" s="10" t="s">
        <v>64</v>
      </c>
      <c r="E191" s="10" t="s">
        <v>99</v>
      </c>
      <c r="F191" s="10" t="s">
        <v>167</v>
      </c>
      <c r="G191" s="11">
        <v>5</v>
      </c>
      <c r="H191" s="12">
        <v>52.878426172826138</v>
      </c>
      <c r="I191" s="12">
        <v>52.44202430245187</v>
      </c>
      <c r="J191" s="12"/>
      <c r="K191" s="12"/>
      <c r="L191" s="12">
        <v>38.511984715524257</v>
      </c>
      <c r="M191" s="12">
        <v>68.680746327667237</v>
      </c>
      <c r="N191" s="12">
        <v>10.728484820164731</v>
      </c>
      <c r="O191" s="12">
        <v>0.2028896394363193</v>
      </c>
      <c r="P191" s="10" t="s">
        <v>168</v>
      </c>
      <c r="Q191" s="12">
        <v>38.072466844434828</v>
      </c>
      <c r="R191" s="12">
        <v>54.878426172826138</v>
      </c>
    </row>
    <row r="192" spans="1:18" ht="32.1" customHeight="1" x14ac:dyDescent="0.25">
      <c r="A192" s="10" t="s">
        <v>56</v>
      </c>
      <c r="B192" s="10" t="s">
        <v>94</v>
      </c>
      <c r="C192" s="10" t="s">
        <v>70</v>
      </c>
      <c r="D192" s="10" t="s">
        <v>64</v>
      </c>
      <c r="E192" s="10" t="s">
        <v>100</v>
      </c>
      <c r="F192" s="10" t="s">
        <v>167</v>
      </c>
      <c r="G192" s="11">
        <v>5</v>
      </c>
      <c r="H192" s="12">
        <v>51.810276556351837</v>
      </c>
      <c r="I192" s="12">
        <v>55.345217473121323</v>
      </c>
      <c r="J192" s="12"/>
      <c r="K192" s="12"/>
      <c r="L192" s="12">
        <v>30.643885453254221</v>
      </c>
      <c r="M192" s="12">
        <v>64.410381720492751</v>
      </c>
      <c r="N192" s="12">
        <v>13.539153306884669</v>
      </c>
      <c r="O192" s="12">
        <v>0.26132177256685168</v>
      </c>
      <c r="P192" s="10" t="s">
        <v>168</v>
      </c>
      <c r="Q192" s="12">
        <v>35.035380191027969</v>
      </c>
      <c r="R192" s="12">
        <v>53.810276556351837</v>
      </c>
    </row>
    <row r="193" spans="1:18" ht="32.1" customHeight="1" x14ac:dyDescent="0.25">
      <c r="A193" s="10" t="s">
        <v>56</v>
      </c>
      <c r="B193" s="10" t="s">
        <v>94</v>
      </c>
      <c r="C193" s="10" t="s">
        <v>70</v>
      </c>
      <c r="D193" s="10" t="s">
        <v>64</v>
      </c>
      <c r="E193" s="10" t="s">
        <v>101</v>
      </c>
      <c r="F193" s="10" t="s">
        <v>167</v>
      </c>
      <c r="G193" s="11">
        <v>2</v>
      </c>
      <c r="H193" s="12">
        <v>46.25089480769244</v>
      </c>
      <c r="I193" s="12">
        <v>46.25089480769244</v>
      </c>
      <c r="J193" s="12"/>
      <c r="K193" s="12"/>
      <c r="L193" s="12">
        <v>33.439483002076869</v>
      </c>
      <c r="M193" s="12">
        <v>59.06230661330801</v>
      </c>
      <c r="N193" s="12">
        <v>18.118072328648321</v>
      </c>
      <c r="O193" s="12">
        <v>0.3917345254396013</v>
      </c>
      <c r="P193" s="10" t="s">
        <v>168</v>
      </c>
      <c r="Q193" s="12">
        <v>33.300644261538551</v>
      </c>
      <c r="R193" s="12">
        <v>48.25089480769244</v>
      </c>
    </row>
    <row r="194" spans="1:18" ht="32.1" customHeight="1" x14ac:dyDescent="0.25">
      <c r="A194" s="10" t="s">
        <v>56</v>
      </c>
      <c r="B194" s="10" t="s">
        <v>94</v>
      </c>
      <c r="C194" s="10" t="s">
        <v>70</v>
      </c>
      <c r="D194" s="10" t="s">
        <v>64</v>
      </c>
      <c r="E194" s="10" t="s">
        <v>102</v>
      </c>
      <c r="F194" s="10" t="s">
        <v>167</v>
      </c>
      <c r="G194" s="11">
        <v>5</v>
      </c>
      <c r="H194" s="12">
        <v>49.547016284263712</v>
      </c>
      <c r="I194" s="12">
        <v>49.53479434413849</v>
      </c>
      <c r="J194" s="12"/>
      <c r="K194" s="12"/>
      <c r="L194" s="12">
        <v>37.128866167041842</v>
      </c>
      <c r="M194" s="12">
        <v>71.280701610692333</v>
      </c>
      <c r="N194" s="12">
        <v>13.863212755889251</v>
      </c>
      <c r="O194" s="12">
        <v>0.27979914423812141</v>
      </c>
      <c r="P194" s="10" t="s">
        <v>168</v>
      </c>
      <c r="Q194" s="12">
        <v>35.673851724669873</v>
      </c>
      <c r="R194" s="12">
        <v>51.547016284263712</v>
      </c>
    </row>
    <row r="195" spans="1:18" ht="32.1" customHeight="1" x14ac:dyDescent="0.25">
      <c r="A195" s="10" t="s">
        <v>56</v>
      </c>
      <c r="B195" s="10" t="s">
        <v>94</v>
      </c>
      <c r="C195" s="10" t="s">
        <v>70</v>
      </c>
      <c r="D195" s="10" t="s">
        <v>64</v>
      </c>
      <c r="E195" s="10" t="s">
        <v>103</v>
      </c>
      <c r="F195" s="10" t="s">
        <v>167</v>
      </c>
      <c r="G195" s="11">
        <v>2</v>
      </c>
      <c r="H195" s="12">
        <v>24.33955098132213</v>
      </c>
      <c r="I195" s="12">
        <v>24.33955098132213</v>
      </c>
      <c r="J195" s="12"/>
      <c r="K195" s="12"/>
      <c r="L195" s="12">
        <v>15.47378764045574</v>
      </c>
      <c r="M195" s="12">
        <v>33.205314322188528</v>
      </c>
      <c r="N195" s="12">
        <v>12.53808275744346</v>
      </c>
      <c r="O195" s="12">
        <v>0.51513204853553063</v>
      </c>
      <c r="P195" s="10" t="s">
        <v>168</v>
      </c>
      <c r="Q195" s="12">
        <v>17.52447670655194</v>
      </c>
      <c r="R195" s="12">
        <v>26.33955098132213</v>
      </c>
    </row>
    <row r="196" spans="1:18" ht="32.1" customHeight="1" x14ac:dyDescent="0.25">
      <c r="A196" s="10" t="s">
        <v>56</v>
      </c>
      <c r="B196" s="10" t="s">
        <v>94</v>
      </c>
      <c r="C196" s="10" t="s">
        <v>70</v>
      </c>
      <c r="D196" s="10" t="s">
        <v>64</v>
      </c>
      <c r="E196" s="10" t="s">
        <v>103</v>
      </c>
      <c r="F196" s="10" t="s">
        <v>169</v>
      </c>
      <c r="G196" s="11">
        <v>1</v>
      </c>
      <c r="H196" s="12">
        <v>28.265345420725719</v>
      </c>
      <c r="I196" s="12">
        <v>28.265345420725719</v>
      </c>
      <c r="J196" s="12"/>
      <c r="K196" s="12"/>
      <c r="L196" s="12">
        <v>28.265345420725719</v>
      </c>
      <c r="M196" s="12">
        <v>28.265345420725719</v>
      </c>
      <c r="N196" s="12"/>
      <c r="O196" s="12"/>
      <c r="P196" s="10" t="s">
        <v>168</v>
      </c>
      <c r="Q196" s="12">
        <v>20.351048702922519</v>
      </c>
      <c r="R196" s="12">
        <v>30.265345420725719</v>
      </c>
    </row>
    <row r="197" spans="1:18" ht="32.1" customHeight="1" x14ac:dyDescent="0.25">
      <c r="A197" s="10" t="s">
        <v>56</v>
      </c>
      <c r="B197" s="10" t="s">
        <v>94</v>
      </c>
      <c r="C197" s="10" t="s">
        <v>3</v>
      </c>
      <c r="D197" s="10" t="s">
        <v>62</v>
      </c>
      <c r="E197" s="10" t="s">
        <v>104</v>
      </c>
      <c r="F197" s="10" t="s">
        <v>167</v>
      </c>
      <c r="G197" s="11">
        <v>77</v>
      </c>
      <c r="H197" s="12">
        <v>130.0596243734802</v>
      </c>
      <c r="I197" s="12">
        <v>119.04446346901589</v>
      </c>
      <c r="J197" s="12">
        <v>255.1944720779392</v>
      </c>
      <c r="K197" s="12"/>
      <c r="L197" s="12">
        <v>42.066566902666743</v>
      </c>
      <c r="M197" s="12">
        <v>311.02443368923662</v>
      </c>
      <c r="N197" s="12">
        <v>56.741885156426292</v>
      </c>
      <c r="O197" s="12">
        <v>0.4362759421285568</v>
      </c>
      <c r="P197" s="10" t="s">
        <v>168</v>
      </c>
      <c r="Q197" s="12">
        <v>94.213478393589753</v>
      </c>
      <c r="R197" s="12">
        <v>132.0596243734802</v>
      </c>
    </row>
    <row r="198" spans="1:18" ht="32.1" customHeight="1" x14ac:dyDescent="0.25">
      <c r="A198" s="10" t="s">
        <v>56</v>
      </c>
      <c r="B198" s="10" t="s">
        <v>94</v>
      </c>
      <c r="C198" s="10" t="s">
        <v>3</v>
      </c>
      <c r="D198" s="10" t="s">
        <v>62</v>
      </c>
      <c r="E198" s="10" t="s">
        <v>104</v>
      </c>
      <c r="F198" s="10" t="s">
        <v>169</v>
      </c>
      <c r="G198" s="11">
        <v>6</v>
      </c>
      <c r="H198" s="12">
        <v>147.1823677273471</v>
      </c>
      <c r="I198" s="12">
        <v>148.85352386836809</v>
      </c>
      <c r="J198" s="12"/>
      <c r="K198" s="12"/>
      <c r="L198" s="12">
        <v>68.639036440170003</v>
      </c>
      <c r="M198" s="12">
        <v>210.84296562647489</v>
      </c>
      <c r="N198" s="12">
        <v>49.12671678932373</v>
      </c>
      <c r="O198" s="12">
        <v>0.33378126434499378</v>
      </c>
      <c r="P198" s="10" t="s">
        <v>168</v>
      </c>
      <c r="Q198" s="12">
        <v>105.9713047636899</v>
      </c>
      <c r="R198" s="12">
        <v>149.1823677273471</v>
      </c>
    </row>
    <row r="199" spans="1:18" ht="32.1" customHeight="1" x14ac:dyDescent="0.25">
      <c r="A199" s="10" t="s">
        <v>56</v>
      </c>
      <c r="B199" s="10" t="s">
        <v>94</v>
      </c>
      <c r="C199" s="10" t="s">
        <v>3</v>
      </c>
      <c r="D199" s="10" t="s">
        <v>62</v>
      </c>
      <c r="E199" s="10" t="s">
        <v>106</v>
      </c>
      <c r="F199" s="10" t="s">
        <v>167</v>
      </c>
      <c r="G199" s="11">
        <v>66</v>
      </c>
      <c r="H199" s="12">
        <v>137.84635071634159</v>
      </c>
      <c r="I199" s="12">
        <v>123.74453457102599</v>
      </c>
      <c r="J199" s="12">
        <v>216.6746029734324</v>
      </c>
      <c r="K199" s="12"/>
      <c r="L199" s="12">
        <v>51.100044868663559</v>
      </c>
      <c r="M199" s="12">
        <v>1072.1927512725861</v>
      </c>
      <c r="N199" s="12">
        <v>125.66855257825191</v>
      </c>
      <c r="O199" s="12">
        <v>0.91165672449937385</v>
      </c>
      <c r="P199" s="10" t="s">
        <v>168</v>
      </c>
      <c r="Q199" s="12">
        <v>99.440423745237055</v>
      </c>
      <c r="R199" s="12">
        <v>139.84635071634159</v>
      </c>
    </row>
    <row r="200" spans="1:18" ht="32.1" customHeight="1" x14ac:dyDescent="0.25">
      <c r="A200" s="10" t="s">
        <v>56</v>
      </c>
      <c r="B200" s="10" t="s">
        <v>94</v>
      </c>
      <c r="C200" s="10" t="s">
        <v>3</v>
      </c>
      <c r="D200" s="10" t="s">
        <v>62</v>
      </c>
      <c r="E200" s="10" t="s">
        <v>106</v>
      </c>
      <c r="F200" s="10" t="s">
        <v>169</v>
      </c>
      <c r="G200" s="11">
        <v>4</v>
      </c>
      <c r="H200" s="12">
        <v>205.36073546534519</v>
      </c>
      <c r="I200" s="12">
        <v>180.9494544341573</v>
      </c>
      <c r="J200" s="12"/>
      <c r="K200" s="12"/>
      <c r="L200" s="12">
        <v>167.66592275692869</v>
      </c>
      <c r="M200" s="12">
        <v>291.87811023613727</v>
      </c>
      <c r="N200" s="12">
        <v>58.060405885802822</v>
      </c>
      <c r="O200" s="12">
        <v>0.28272398691131773</v>
      </c>
      <c r="P200" s="10" t="s">
        <v>168</v>
      </c>
      <c r="Q200" s="12">
        <v>156.9064845850684</v>
      </c>
      <c r="R200" s="12">
        <v>207.36073546534519</v>
      </c>
    </row>
    <row r="201" spans="1:18" ht="32.1" customHeight="1" x14ac:dyDescent="0.25">
      <c r="A201" s="10" t="s">
        <v>56</v>
      </c>
      <c r="B201" s="10" t="s">
        <v>94</v>
      </c>
      <c r="C201" s="10" t="s">
        <v>3</v>
      </c>
      <c r="D201" s="10" t="s">
        <v>62</v>
      </c>
      <c r="E201" s="10" t="s">
        <v>107</v>
      </c>
      <c r="F201" s="10" t="s">
        <v>167</v>
      </c>
      <c r="G201" s="11">
        <v>102</v>
      </c>
      <c r="H201" s="12">
        <v>116.2438972682281</v>
      </c>
      <c r="I201" s="12">
        <v>109.4171084581411</v>
      </c>
      <c r="J201" s="12">
        <v>199.3412662891408</v>
      </c>
      <c r="K201" s="12"/>
      <c r="L201" s="12">
        <v>35.379918811968857</v>
      </c>
      <c r="M201" s="12">
        <v>266.62688710248659</v>
      </c>
      <c r="N201" s="12">
        <v>45.426820878901118</v>
      </c>
      <c r="O201" s="12">
        <v>0.39078886674007968</v>
      </c>
      <c r="P201" s="10" t="s">
        <v>168</v>
      </c>
      <c r="Q201" s="12">
        <v>84.018538638180914</v>
      </c>
      <c r="R201" s="12">
        <v>118.2438972682281</v>
      </c>
    </row>
    <row r="202" spans="1:18" ht="32.1" customHeight="1" x14ac:dyDescent="0.25">
      <c r="A202" s="10" t="s">
        <v>56</v>
      </c>
      <c r="B202" s="10" t="s">
        <v>94</v>
      </c>
      <c r="C202" s="10" t="s">
        <v>3</v>
      </c>
      <c r="D202" s="10" t="s">
        <v>62</v>
      </c>
      <c r="E202" s="10" t="s">
        <v>107</v>
      </c>
      <c r="F202" s="10" t="s">
        <v>169</v>
      </c>
      <c r="G202" s="11">
        <v>5</v>
      </c>
      <c r="H202" s="12">
        <v>99.343299326989239</v>
      </c>
      <c r="I202" s="12">
        <v>91.350334567865445</v>
      </c>
      <c r="J202" s="12"/>
      <c r="K202" s="12"/>
      <c r="L202" s="12">
        <v>43.248497214334847</v>
      </c>
      <c r="M202" s="12">
        <v>165.57558555233879</v>
      </c>
      <c r="N202" s="12">
        <v>44.028858800704427</v>
      </c>
      <c r="O202" s="12">
        <v>0.44319907934387298</v>
      </c>
      <c r="P202" s="10" t="s">
        <v>168</v>
      </c>
      <c r="Q202" s="12">
        <v>71.527175515432248</v>
      </c>
      <c r="R202" s="12">
        <v>101.3432993269892</v>
      </c>
    </row>
    <row r="203" spans="1:18" ht="32.1" customHeight="1" x14ac:dyDescent="0.25">
      <c r="A203" s="10" t="s">
        <v>56</v>
      </c>
      <c r="B203" s="10" t="s">
        <v>94</v>
      </c>
      <c r="C203" s="10" t="s">
        <v>3</v>
      </c>
      <c r="D203" s="10" t="s">
        <v>62</v>
      </c>
      <c r="E203" s="10" t="s">
        <v>108</v>
      </c>
      <c r="F203" s="10" t="s">
        <v>167</v>
      </c>
      <c r="G203" s="11">
        <v>86</v>
      </c>
      <c r="H203" s="12">
        <v>123.8752909539337</v>
      </c>
      <c r="I203" s="12">
        <v>112.97652294390529</v>
      </c>
      <c r="J203" s="12">
        <v>231.58419210398799</v>
      </c>
      <c r="K203" s="12"/>
      <c r="L203" s="12">
        <v>41.917493524758648</v>
      </c>
      <c r="M203" s="12">
        <v>363.55909034594288</v>
      </c>
      <c r="N203" s="12">
        <v>55.376027338849468</v>
      </c>
      <c r="O203" s="12">
        <v>0.44703045225897792</v>
      </c>
      <c r="P203" s="10" t="s">
        <v>168</v>
      </c>
      <c r="Q203" s="12">
        <v>89.278254483117266</v>
      </c>
      <c r="R203" s="12">
        <v>125.8752909539337</v>
      </c>
    </row>
    <row r="204" spans="1:18" ht="32.1" customHeight="1" x14ac:dyDescent="0.25">
      <c r="A204" s="10" t="s">
        <v>56</v>
      </c>
      <c r="B204" s="10" t="s">
        <v>94</v>
      </c>
      <c r="C204" s="10" t="s">
        <v>3</v>
      </c>
      <c r="D204" s="10" t="s">
        <v>62</v>
      </c>
      <c r="E204" s="10" t="s">
        <v>108</v>
      </c>
      <c r="F204" s="10" t="s">
        <v>169</v>
      </c>
      <c r="G204" s="11">
        <v>2</v>
      </c>
      <c r="H204" s="12">
        <v>81.386226876954282</v>
      </c>
      <c r="I204" s="12">
        <v>81.386226876954282</v>
      </c>
      <c r="J204" s="12"/>
      <c r="K204" s="12"/>
      <c r="L204" s="12">
        <v>58.328963851216059</v>
      </c>
      <c r="M204" s="12">
        <v>104.44348990269251</v>
      </c>
      <c r="N204" s="12">
        <v>32.607894082202698</v>
      </c>
      <c r="O204" s="12">
        <v>0.40065617160876282</v>
      </c>
      <c r="P204" s="10" t="s">
        <v>168</v>
      </c>
      <c r="Q204" s="12">
        <v>58.598083351407091</v>
      </c>
      <c r="R204" s="12">
        <v>83.386226876954282</v>
      </c>
    </row>
    <row r="205" spans="1:18" ht="32.1" customHeight="1" x14ac:dyDescent="0.25">
      <c r="A205" s="10" t="s">
        <v>56</v>
      </c>
      <c r="B205" s="10" t="s">
        <v>94</v>
      </c>
      <c r="C205" s="10" t="s">
        <v>3</v>
      </c>
      <c r="D205" s="10" t="s">
        <v>62</v>
      </c>
      <c r="E205" s="10" t="s">
        <v>109</v>
      </c>
      <c r="F205" s="10" t="s">
        <v>167</v>
      </c>
      <c r="G205" s="11">
        <v>95</v>
      </c>
      <c r="H205" s="12">
        <v>140.5016110887326</v>
      </c>
      <c r="I205" s="12">
        <v>131.91450429571211</v>
      </c>
      <c r="J205" s="12">
        <v>241.86159814605159</v>
      </c>
      <c r="K205" s="12"/>
      <c r="L205" s="12">
        <v>50.22217178328259</v>
      </c>
      <c r="M205" s="12">
        <v>392.77471572092361</v>
      </c>
      <c r="N205" s="12">
        <v>57.536614334560461</v>
      </c>
      <c r="O205" s="12">
        <v>0.40950857352250353</v>
      </c>
      <c r="P205" s="10" t="s">
        <v>168</v>
      </c>
      <c r="Q205" s="12">
        <v>98.927556452313439</v>
      </c>
      <c r="R205" s="12">
        <v>142.5016110887326</v>
      </c>
    </row>
    <row r="206" spans="1:18" ht="32.1" customHeight="1" x14ac:dyDescent="0.25">
      <c r="A206" s="10" t="s">
        <v>56</v>
      </c>
      <c r="B206" s="10" t="s">
        <v>94</v>
      </c>
      <c r="C206" s="10" t="s">
        <v>3</v>
      </c>
      <c r="D206" s="10" t="s">
        <v>62</v>
      </c>
      <c r="E206" s="10" t="s">
        <v>109</v>
      </c>
      <c r="F206" s="10" t="s">
        <v>169</v>
      </c>
      <c r="G206" s="11">
        <v>2</v>
      </c>
      <c r="H206" s="12">
        <v>115.1375696132604</v>
      </c>
      <c r="I206" s="12">
        <v>115.1375696132604</v>
      </c>
      <c r="J206" s="12"/>
      <c r="K206" s="12"/>
      <c r="L206" s="12">
        <v>112.5821090278925</v>
      </c>
      <c r="M206" s="12">
        <v>117.69303019862819</v>
      </c>
      <c r="N206" s="12">
        <v>3.6139670179370871</v>
      </c>
      <c r="O206" s="12">
        <v>3.1388251724230098E-2</v>
      </c>
      <c r="P206" s="10" t="s">
        <v>168</v>
      </c>
      <c r="Q206" s="12"/>
      <c r="R206" s="12">
        <v>117.1375696132604</v>
      </c>
    </row>
    <row r="207" spans="1:18" ht="32.1" customHeight="1" x14ac:dyDescent="0.25">
      <c r="A207" s="10" t="s">
        <v>56</v>
      </c>
      <c r="B207" s="10" t="s">
        <v>94</v>
      </c>
      <c r="C207" s="10" t="s">
        <v>3</v>
      </c>
      <c r="D207" s="10" t="s">
        <v>62</v>
      </c>
      <c r="E207" s="10" t="s">
        <v>110</v>
      </c>
      <c r="F207" s="10" t="s">
        <v>167</v>
      </c>
      <c r="G207" s="11">
        <v>12</v>
      </c>
      <c r="H207" s="12">
        <v>98.538593823526085</v>
      </c>
      <c r="I207" s="12">
        <v>89.431410017261925</v>
      </c>
      <c r="J207" s="12"/>
      <c r="K207" s="12"/>
      <c r="L207" s="12">
        <v>41.11549327940169</v>
      </c>
      <c r="M207" s="12">
        <v>178.39720347831329</v>
      </c>
      <c r="N207" s="12">
        <v>41.643632716209147</v>
      </c>
      <c r="O207" s="12">
        <v>0.42261241103956909</v>
      </c>
      <c r="P207" s="10" t="s">
        <v>168</v>
      </c>
      <c r="Q207" s="12">
        <v>74.706390497645103</v>
      </c>
      <c r="R207" s="12">
        <v>100.5385938235261</v>
      </c>
    </row>
    <row r="208" spans="1:18" ht="32.1" customHeight="1" x14ac:dyDescent="0.25">
      <c r="A208" s="10" t="s">
        <v>56</v>
      </c>
      <c r="B208" s="10" t="s">
        <v>94</v>
      </c>
      <c r="C208" s="10" t="s">
        <v>3</v>
      </c>
      <c r="D208" s="10" t="s">
        <v>62</v>
      </c>
      <c r="E208" s="10" t="s">
        <v>110</v>
      </c>
      <c r="F208" s="10" t="s">
        <v>169</v>
      </c>
      <c r="G208" s="11">
        <v>2</v>
      </c>
      <c r="H208" s="12">
        <v>75.607200403173664</v>
      </c>
      <c r="I208" s="12">
        <v>75.607200403173664</v>
      </c>
      <c r="J208" s="12"/>
      <c r="K208" s="12"/>
      <c r="L208" s="12">
        <v>45.306568336277692</v>
      </c>
      <c r="M208" s="12">
        <v>105.90783247006959</v>
      </c>
      <c r="N208" s="12">
        <v>42.851564817481403</v>
      </c>
      <c r="O208" s="12">
        <v>0.56676565973844306</v>
      </c>
      <c r="P208" s="10" t="s">
        <v>168</v>
      </c>
      <c r="Q208" s="12">
        <v>54.437184290285053</v>
      </c>
      <c r="R208" s="12">
        <v>77.607200403173664</v>
      </c>
    </row>
    <row r="209" spans="1:18" ht="32.1" customHeight="1" x14ac:dyDescent="0.25">
      <c r="A209" s="10" t="s">
        <v>56</v>
      </c>
      <c r="B209" s="10" t="s">
        <v>94</v>
      </c>
      <c r="C209" s="10" t="s">
        <v>3</v>
      </c>
      <c r="D209" s="10" t="s">
        <v>62</v>
      </c>
      <c r="E209" s="10" t="s">
        <v>111</v>
      </c>
      <c r="F209" s="10" t="s">
        <v>167</v>
      </c>
      <c r="G209" s="11">
        <v>3</v>
      </c>
      <c r="H209" s="12">
        <v>137.48995722599619</v>
      </c>
      <c r="I209" s="12">
        <v>120.30543457262119</v>
      </c>
      <c r="J209" s="12"/>
      <c r="K209" s="12"/>
      <c r="L209" s="12">
        <v>119.6322040827437</v>
      </c>
      <c r="M209" s="12">
        <v>172.5322330226237</v>
      </c>
      <c r="N209" s="12">
        <v>30.34936786126368</v>
      </c>
      <c r="O209" s="12">
        <v>0.22073879775362459</v>
      </c>
      <c r="P209" s="10" t="s">
        <v>168</v>
      </c>
      <c r="Q209" s="12">
        <v>98.992769202717241</v>
      </c>
      <c r="R209" s="12">
        <v>139.48995722599619</v>
      </c>
    </row>
    <row r="210" spans="1:18" ht="32.1" customHeight="1" x14ac:dyDescent="0.25">
      <c r="A210" s="10" t="s">
        <v>56</v>
      </c>
      <c r="B210" s="10" t="s">
        <v>94</v>
      </c>
      <c r="C210" s="10" t="s">
        <v>3</v>
      </c>
      <c r="D210" s="10" t="s">
        <v>62</v>
      </c>
      <c r="E210" s="10" t="s">
        <v>112</v>
      </c>
      <c r="F210" s="10" t="s">
        <v>167</v>
      </c>
      <c r="G210" s="11">
        <v>8</v>
      </c>
      <c r="H210" s="12">
        <v>104.0870838942492</v>
      </c>
      <c r="I210" s="12">
        <v>99.559227409475</v>
      </c>
      <c r="J210" s="12"/>
      <c r="K210" s="12"/>
      <c r="L210" s="12">
        <v>73.486894186446847</v>
      </c>
      <c r="M210" s="12">
        <v>141.8350234598901</v>
      </c>
      <c r="N210" s="12">
        <v>25.74624515187158</v>
      </c>
      <c r="O210" s="12">
        <v>0.24735292976436299</v>
      </c>
      <c r="P210" s="10" t="s">
        <v>168</v>
      </c>
      <c r="Q210" s="12">
        <v>72.502026268237913</v>
      </c>
      <c r="R210" s="12">
        <v>106.0870838942492</v>
      </c>
    </row>
    <row r="211" spans="1:18" ht="32.1" customHeight="1" x14ac:dyDescent="0.25">
      <c r="A211" s="10" t="s">
        <v>56</v>
      </c>
      <c r="B211" s="10" t="s">
        <v>94</v>
      </c>
      <c r="C211" s="10" t="s">
        <v>3</v>
      </c>
      <c r="D211" s="10" t="s">
        <v>62</v>
      </c>
      <c r="E211" s="10" t="s">
        <v>113</v>
      </c>
      <c r="F211" s="10" t="s">
        <v>167</v>
      </c>
      <c r="G211" s="11">
        <v>2</v>
      </c>
      <c r="H211" s="12">
        <v>113.5972847175959</v>
      </c>
      <c r="I211" s="12">
        <v>113.5972847175959</v>
      </c>
      <c r="J211" s="12"/>
      <c r="K211" s="12"/>
      <c r="L211" s="12">
        <v>96.573706605962116</v>
      </c>
      <c r="M211" s="12">
        <v>130.62086282922971</v>
      </c>
      <c r="N211" s="12">
        <v>24.07497504559025</v>
      </c>
      <c r="O211" s="12">
        <v>0.21193266287518139</v>
      </c>
      <c r="P211" s="10" t="s">
        <v>168</v>
      </c>
      <c r="Q211" s="12">
        <v>81.790044996669053</v>
      </c>
      <c r="R211" s="12">
        <v>115.5972847175959</v>
      </c>
    </row>
    <row r="212" spans="1:18" ht="32.1" customHeight="1" x14ac:dyDescent="0.25">
      <c r="A212" s="10" t="s">
        <v>56</v>
      </c>
      <c r="B212" s="10" t="s">
        <v>94</v>
      </c>
      <c r="C212" s="10" t="s">
        <v>3</v>
      </c>
      <c r="D212" s="10" t="s">
        <v>62</v>
      </c>
      <c r="E212" s="10" t="s">
        <v>113</v>
      </c>
      <c r="F212" s="10" t="s">
        <v>169</v>
      </c>
      <c r="G212" s="11">
        <v>1</v>
      </c>
      <c r="H212" s="12">
        <v>156.08500619408599</v>
      </c>
      <c r="I212" s="12">
        <v>156.08500619408599</v>
      </c>
      <c r="J212" s="12"/>
      <c r="K212" s="12"/>
      <c r="L212" s="12">
        <v>156.08500619408599</v>
      </c>
      <c r="M212" s="12">
        <v>156.08500619408599</v>
      </c>
      <c r="N212" s="12"/>
      <c r="O212" s="12"/>
      <c r="P212" s="10" t="s">
        <v>168</v>
      </c>
      <c r="Q212" s="12">
        <v>112.38120445974189</v>
      </c>
      <c r="R212" s="12">
        <v>158.08500619408599</v>
      </c>
    </row>
    <row r="213" spans="1:18" ht="32.1" customHeight="1" x14ac:dyDescent="0.25">
      <c r="A213" s="10" t="s">
        <v>56</v>
      </c>
      <c r="B213" s="10" t="s">
        <v>94</v>
      </c>
      <c r="C213" s="10" t="s">
        <v>3</v>
      </c>
      <c r="D213" s="10" t="s">
        <v>62</v>
      </c>
      <c r="E213" s="10" t="s">
        <v>114</v>
      </c>
      <c r="F213" s="10" t="s">
        <v>167</v>
      </c>
      <c r="G213" s="11">
        <v>7</v>
      </c>
      <c r="H213" s="12">
        <v>79.720672453284848</v>
      </c>
      <c r="I213" s="12">
        <v>90.144455868190633</v>
      </c>
      <c r="J213" s="12"/>
      <c r="K213" s="12"/>
      <c r="L213" s="12">
        <v>45.209801008115043</v>
      </c>
      <c r="M213" s="12">
        <v>112.6198279684496</v>
      </c>
      <c r="N213" s="12">
        <v>25.731566134709311</v>
      </c>
      <c r="O213" s="12">
        <v>0.32277156404805329</v>
      </c>
      <c r="P213" s="10" t="s">
        <v>168</v>
      </c>
      <c r="Q213" s="12">
        <v>60.974727065764647</v>
      </c>
      <c r="R213" s="12">
        <v>81.720672453284848</v>
      </c>
    </row>
    <row r="214" spans="1:18" ht="32.1" customHeight="1" x14ac:dyDescent="0.25">
      <c r="A214" s="10" t="s">
        <v>56</v>
      </c>
      <c r="B214" s="10" t="s">
        <v>94</v>
      </c>
      <c r="C214" s="10" t="s">
        <v>3</v>
      </c>
      <c r="D214" s="10" t="s">
        <v>62</v>
      </c>
      <c r="E214" s="10" t="s">
        <v>115</v>
      </c>
      <c r="F214" s="10" t="s">
        <v>167</v>
      </c>
      <c r="G214" s="11">
        <v>32</v>
      </c>
      <c r="H214" s="12">
        <v>101.3138633353111</v>
      </c>
      <c r="I214" s="12">
        <v>93.512585068895035</v>
      </c>
      <c r="J214" s="12">
        <v>156.29441560096569</v>
      </c>
      <c r="K214" s="12"/>
      <c r="L214" s="12">
        <v>50.220828550812378</v>
      </c>
      <c r="M214" s="12">
        <v>185.0804329710376</v>
      </c>
      <c r="N214" s="12">
        <v>34.662180463335098</v>
      </c>
      <c r="O214" s="12">
        <v>0.34212672700690738</v>
      </c>
      <c r="P214" s="10" t="s">
        <v>168</v>
      </c>
      <c r="Q214" s="12">
        <v>73.675250857355621</v>
      </c>
      <c r="R214" s="12">
        <v>103.3138633353111</v>
      </c>
    </row>
    <row r="215" spans="1:18" ht="32.1" customHeight="1" x14ac:dyDescent="0.25">
      <c r="A215" s="10" t="s">
        <v>56</v>
      </c>
      <c r="B215" s="10" t="s">
        <v>94</v>
      </c>
      <c r="C215" s="10" t="s">
        <v>3</v>
      </c>
      <c r="D215" s="10" t="s">
        <v>62</v>
      </c>
      <c r="E215" s="10" t="s">
        <v>115</v>
      </c>
      <c r="F215" s="10" t="s">
        <v>169</v>
      </c>
      <c r="G215" s="11">
        <v>2</v>
      </c>
      <c r="H215" s="12">
        <v>127.6144712707639</v>
      </c>
      <c r="I215" s="12">
        <v>127.6144712707639</v>
      </c>
      <c r="J215" s="12"/>
      <c r="K215" s="12"/>
      <c r="L215" s="12">
        <v>87.510726864253101</v>
      </c>
      <c r="M215" s="12">
        <v>167.71821567727471</v>
      </c>
      <c r="N215" s="12">
        <v>56.715259241631728</v>
      </c>
      <c r="O215" s="12">
        <v>0.44442655035021111</v>
      </c>
      <c r="P215" s="10" t="s">
        <v>168</v>
      </c>
      <c r="Q215" s="12">
        <v>91.882419314949999</v>
      </c>
      <c r="R215" s="12">
        <v>129.61447127076389</v>
      </c>
    </row>
    <row r="216" spans="1:18" ht="32.1" customHeight="1" x14ac:dyDescent="0.25">
      <c r="A216" s="10" t="s">
        <v>56</v>
      </c>
      <c r="B216" s="10" t="s">
        <v>94</v>
      </c>
      <c r="C216" s="10" t="s">
        <v>3</v>
      </c>
      <c r="D216" s="10" t="s">
        <v>62</v>
      </c>
      <c r="E216" s="10" t="s">
        <v>116</v>
      </c>
      <c r="F216" s="10" t="s">
        <v>167</v>
      </c>
      <c r="G216" s="11">
        <v>38</v>
      </c>
      <c r="H216" s="12">
        <v>105.56354939345459</v>
      </c>
      <c r="I216" s="12">
        <v>98.766404031509083</v>
      </c>
      <c r="J216" s="12">
        <v>149.5960892552917</v>
      </c>
      <c r="K216" s="12"/>
      <c r="L216" s="12">
        <v>53.261114755195727</v>
      </c>
      <c r="M216" s="12">
        <v>240.70323280059449</v>
      </c>
      <c r="N216" s="12">
        <v>35.310295944155037</v>
      </c>
      <c r="O216" s="12">
        <v>0.33449326161388448</v>
      </c>
      <c r="P216" s="10" t="s">
        <v>168</v>
      </c>
      <c r="Q216" s="12">
        <v>76.532510866507863</v>
      </c>
      <c r="R216" s="12">
        <v>107.56354939345459</v>
      </c>
    </row>
    <row r="217" spans="1:18" ht="32.1" customHeight="1" x14ac:dyDescent="0.25">
      <c r="A217" s="10" t="s">
        <v>56</v>
      </c>
      <c r="B217" s="10" t="s">
        <v>94</v>
      </c>
      <c r="C217" s="10" t="s">
        <v>3</v>
      </c>
      <c r="D217" s="10" t="s">
        <v>62</v>
      </c>
      <c r="E217" s="10" t="s">
        <v>116</v>
      </c>
      <c r="F217" s="10" t="s">
        <v>169</v>
      </c>
      <c r="G217" s="11">
        <v>3</v>
      </c>
      <c r="H217" s="12">
        <v>120.1489993109968</v>
      </c>
      <c r="I217" s="12">
        <v>101.57706241137851</v>
      </c>
      <c r="J217" s="12"/>
      <c r="K217" s="12"/>
      <c r="L217" s="12">
        <v>82.688434653390161</v>
      </c>
      <c r="M217" s="12">
        <v>176.1815008682216</v>
      </c>
      <c r="N217" s="12">
        <v>49.43607981742953</v>
      </c>
      <c r="O217" s="12">
        <v>0.41145644242502522</v>
      </c>
      <c r="P217" s="10" t="s">
        <v>168</v>
      </c>
      <c r="Q217" s="12">
        <v>86.507279503917673</v>
      </c>
      <c r="R217" s="12">
        <v>122.1489993109968</v>
      </c>
    </row>
    <row r="218" spans="1:18" ht="32.1" customHeight="1" x14ac:dyDescent="0.25">
      <c r="A218" s="10" t="s">
        <v>56</v>
      </c>
      <c r="B218" s="10" t="s">
        <v>94</v>
      </c>
      <c r="C218" s="10" t="s">
        <v>3</v>
      </c>
      <c r="D218" s="10" t="s">
        <v>62</v>
      </c>
      <c r="E218" s="10" t="s">
        <v>117</v>
      </c>
      <c r="F218" s="10" t="s">
        <v>167</v>
      </c>
      <c r="G218" s="11">
        <v>30</v>
      </c>
      <c r="H218" s="12">
        <v>99.033014053213236</v>
      </c>
      <c r="I218" s="12">
        <v>86.352871759960138</v>
      </c>
      <c r="J218" s="12">
        <v>173.57681576682211</v>
      </c>
      <c r="K218" s="12"/>
      <c r="L218" s="12">
        <v>43.994262107878278</v>
      </c>
      <c r="M218" s="12">
        <v>182.75950965280441</v>
      </c>
      <c r="N218" s="12">
        <v>39.484264546472893</v>
      </c>
      <c r="O218" s="12">
        <v>0.39869799908601061</v>
      </c>
      <c r="P218" s="10" t="s">
        <v>168</v>
      </c>
      <c r="Q218" s="12">
        <v>71.303770118313523</v>
      </c>
      <c r="R218" s="12">
        <v>101.03301405321319</v>
      </c>
    </row>
    <row r="219" spans="1:18" ht="32.1" customHeight="1" x14ac:dyDescent="0.25">
      <c r="A219" s="10" t="s">
        <v>56</v>
      </c>
      <c r="B219" s="10" t="s">
        <v>94</v>
      </c>
      <c r="C219" s="10" t="s">
        <v>3</v>
      </c>
      <c r="D219" s="10" t="s">
        <v>62</v>
      </c>
      <c r="E219" s="10" t="s">
        <v>117</v>
      </c>
      <c r="F219" s="10" t="s">
        <v>169</v>
      </c>
      <c r="G219" s="11">
        <v>2</v>
      </c>
      <c r="H219" s="12">
        <v>1182.1037984884199</v>
      </c>
      <c r="I219" s="12">
        <v>1182.1037984884199</v>
      </c>
      <c r="J219" s="12"/>
      <c r="K219" s="12"/>
      <c r="L219" s="12">
        <v>116.4015689808229</v>
      </c>
      <c r="M219" s="12">
        <v>2247.8060279960168</v>
      </c>
      <c r="N219" s="12">
        <v>1507.130546420889</v>
      </c>
      <c r="O219" s="12">
        <v>1.274956182653407</v>
      </c>
      <c r="P219" s="10" t="s">
        <v>168</v>
      </c>
      <c r="Q219" s="12">
        <v>851.11473491166248</v>
      </c>
      <c r="R219" s="12">
        <v>1184.1037984884199</v>
      </c>
    </row>
    <row r="220" spans="1:18" ht="32.1" customHeight="1" x14ac:dyDescent="0.25">
      <c r="A220" s="10" t="s">
        <v>56</v>
      </c>
      <c r="B220" s="10" t="s">
        <v>94</v>
      </c>
      <c r="C220" s="10" t="s">
        <v>3</v>
      </c>
      <c r="D220" s="10" t="s">
        <v>62</v>
      </c>
      <c r="E220" s="10" t="s">
        <v>118</v>
      </c>
      <c r="F220" s="10" t="s">
        <v>167</v>
      </c>
      <c r="G220" s="11">
        <v>32</v>
      </c>
      <c r="H220" s="12">
        <v>102.73946851499819</v>
      </c>
      <c r="I220" s="12">
        <v>100.1177152425069</v>
      </c>
      <c r="J220" s="12">
        <v>181.06454985201941</v>
      </c>
      <c r="K220" s="12"/>
      <c r="L220" s="12">
        <v>42.21504916848459</v>
      </c>
      <c r="M220" s="12">
        <v>213.66252183690571</v>
      </c>
      <c r="N220" s="12">
        <v>39.263706811698043</v>
      </c>
      <c r="O220" s="12">
        <v>0.3821677041863053</v>
      </c>
      <c r="P220" s="10" t="s">
        <v>168</v>
      </c>
      <c r="Q220" s="12">
        <v>71.392727426097068</v>
      </c>
      <c r="R220" s="12">
        <v>104.73946851499819</v>
      </c>
    </row>
    <row r="221" spans="1:18" ht="32.1" customHeight="1" x14ac:dyDescent="0.25">
      <c r="A221" s="10" t="s">
        <v>56</v>
      </c>
      <c r="B221" s="10" t="s">
        <v>94</v>
      </c>
      <c r="C221" s="10" t="s">
        <v>3</v>
      </c>
      <c r="D221" s="10" t="s">
        <v>62</v>
      </c>
      <c r="E221" s="10" t="s">
        <v>118</v>
      </c>
      <c r="F221" s="10" t="s">
        <v>169</v>
      </c>
      <c r="G221" s="11">
        <v>1</v>
      </c>
      <c r="H221" s="12">
        <v>79.376659609833297</v>
      </c>
      <c r="I221" s="12">
        <v>79.376659609833297</v>
      </c>
      <c r="J221" s="12"/>
      <c r="K221" s="12"/>
      <c r="L221" s="12">
        <v>79.376659609833297</v>
      </c>
      <c r="M221" s="12">
        <v>79.376659609833297</v>
      </c>
      <c r="N221" s="12"/>
      <c r="O221" s="12"/>
      <c r="P221" s="10" t="s">
        <v>168</v>
      </c>
      <c r="Q221" s="12">
        <v>57.15119491907997</v>
      </c>
      <c r="R221" s="12">
        <v>81.376659609833297</v>
      </c>
    </row>
    <row r="222" spans="1:18" ht="32.1" customHeight="1" x14ac:dyDescent="0.25">
      <c r="A222" s="10" t="s">
        <v>56</v>
      </c>
      <c r="B222" s="10" t="s">
        <v>94</v>
      </c>
      <c r="C222" s="10" t="s">
        <v>3</v>
      </c>
      <c r="D222" s="10" t="s">
        <v>62</v>
      </c>
      <c r="E222" s="10" t="s">
        <v>119</v>
      </c>
      <c r="F222" s="10" t="s">
        <v>167</v>
      </c>
      <c r="G222" s="11">
        <v>36</v>
      </c>
      <c r="H222" s="12">
        <v>118.1415120776695</v>
      </c>
      <c r="I222" s="12">
        <v>114.6783011034294</v>
      </c>
      <c r="J222" s="12">
        <v>186.71844325521971</v>
      </c>
      <c r="K222" s="12"/>
      <c r="L222" s="12">
        <v>66.511681650753573</v>
      </c>
      <c r="M222" s="12">
        <v>300.35780761379749</v>
      </c>
      <c r="N222" s="12">
        <v>46.4217822977539</v>
      </c>
      <c r="O222" s="12">
        <v>0.3929337070549338</v>
      </c>
      <c r="P222" s="10" t="s">
        <v>168</v>
      </c>
      <c r="Q222" s="12">
        <v>83.853256200083564</v>
      </c>
      <c r="R222" s="12">
        <v>120.1415120776695</v>
      </c>
    </row>
    <row r="223" spans="1:18" ht="32.1" customHeight="1" x14ac:dyDescent="0.25">
      <c r="A223" s="10" t="s">
        <v>56</v>
      </c>
      <c r="B223" s="10" t="s">
        <v>94</v>
      </c>
      <c r="C223" s="10" t="s">
        <v>3</v>
      </c>
      <c r="D223" s="10" t="s">
        <v>62</v>
      </c>
      <c r="E223" s="10" t="s">
        <v>119</v>
      </c>
      <c r="F223" s="10" t="s">
        <v>169</v>
      </c>
      <c r="G223" s="11">
        <v>1</v>
      </c>
      <c r="H223" s="12">
        <v>160.07407779017811</v>
      </c>
      <c r="I223" s="12">
        <v>160.07407779017811</v>
      </c>
      <c r="J223" s="12"/>
      <c r="K223" s="12"/>
      <c r="L223" s="12">
        <v>160.07407779017811</v>
      </c>
      <c r="M223" s="12">
        <v>160.07407779017811</v>
      </c>
      <c r="N223" s="12"/>
      <c r="O223" s="12"/>
      <c r="P223" s="10" t="s">
        <v>168</v>
      </c>
      <c r="Q223" s="12">
        <v>115.2533360089283</v>
      </c>
      <c r="R223" s="12">
        <v>162.07407779017811</v>
      </c>
    </row>
    <row r="224" spans="1:18" ht="32.1" customHeight="1" x14ac:dyDescent="0.25">
      <c r="A224" s="10" t="s">
        <v>56</v>
      </c>
      <c r="B224" s="10" t="s">
        <v>94</v>
      </c>
      <c r="C224" s="10" t="s">
        <v>3</v>
      </c>
      <c r="D224" s="10" t="s">
        <v>63</v>
      </c>
      <c r="E224" s="10" t="s">
        <v>104</v>
      </c>
      <c r="F224" s="10" t="s">
        <v>167</v>
      </c>
      <c r="G224" s="11">
        <v>604</v>
      </c>
      <c r="H224" s="12">
        <v>43.854259220789523</v>
      </c>
      <c r="I224" s="12">
        <v>40.305804658624581</v>
      </c>
      <c r="J224" s="12">
        <v>76.509251077208035</v>
      </c>
      <c r="K224" s="12"/>
      <c r="L224" s="12">
        <v>12.320264155747649</v>
      </c>
      <c r="M224" s="12">
        <v>487.33871978022012</v>
      </c>
      <c r="N224" s="12">
        <v>24.785991865319261</v>
      </c>
      <c r="O224" s="12">
        <v>0.56519007060480064</v>
      </c>
      <c r="P224" s="10" t="s">
        <v>168</v>
      </c>
      <c r="Q224" s="12">
        <v>31.685762585528899</v>
      </c>
      <c r="R224" s="12">
        <v>45.854259220789523</v>
      </c>
    </row>
    <row r="225" spans="1:18" ht="32.1" customHeight="1" x14ac:dyDescent="0.25">
      <c r="A225" s="10" t="s">
        <v>56</v>
      </c>
      <c r="B225" s="10" t="s">
        <v>94</v>
      </c>
      <c r="C225" s="10" t="s">
        <v>3</v>
      </c>
      <c r="D225" s="10" t="s">
        <v>63</v>
      </c>
      <c r="E225" s="10" t="s">
        <v>104</v>
      </c>
      <c r="F225" s="10" t="s">
        <v>169</v>
      </c>
      <c r="G225" s="11">
        <v>32</v>
      </c>
      <c r="H225" s="12">
        <v>41.257958183084362</v>
      </c>
      <c r="I225" s="12">
        <v>38.940925281845757</v>
      </c>
      <c r="J225" s="12">
        <v>65.016081438354163</v>
      </c>
      <c r="K225" s="12"/>
      <c r="L225" s="12">
        <v>20.168541699731559</v>
      </c>
      <c r="M225" s="12">
        <v>70.155006112546985</v>
      </c>
      <c r="N225" s="12">
        <v>13.73942608052996</v>
      </c>
      <c r="O225" s="12">
        <v>0.33301274919036311</v>
      </c>
      <c r="P225" s="10" t="s">
        <v>168</v>
      </c>
      <c r="Q225" s="12">
        <v>29.99768673252289</v>
      </c>
      <c r="R225" s="12">
        <v>43.257958183084362</v>
      </c>
    </row>
    <row r="226" spans="1:18" ht="32.1" customHeight="1" x14ac:dyDescent="0.25">
      <c r="A226" s="10" t="s">
        <v>56</v>
      </c>
      <c r="B226" s="10" t="s">
        <v>94</v>
      </c>
      <c r="C226" s="10" t="s">
        <v>3</v>
      </c>
      <c r="D226" s="10" t="s">
        <v>63</v>
      </c>
      <c r="E226" s="10" t="s">
        <v>106</v>
      </c>
      <c r="F226" s="10" t="s">
        <v>167</v>
      </c>
      <c r="G226" s="11">
        <v>598</v>
      </c>
      <c r="H226" s="12">
        <v>44.656652806454929</v>
      </c>
      <c r="I226" s="12">
        <v>40.585033920531536</v>
      </c>
      <c r="J226" s="12">
        <v>75.210704531110366</v>
      </c>
      <c r="K226" s="12"/>
      <c r="L226" s="12">
        <v>12.05564062052882</v>
      </c>
      <c r="M226" s="12">
        <v>912.23608209939039</v>
      </c>
      <c r="N226" s="12">
        <v>39.257658939988637</v>
      </c>
      <c r="O226" s="12">
        <v>0.8790998982869157</v>
      </c>
      <c r="P226" s="10" t="s">
        <v>168</v>
      </c>
      <c r="Q226" s="12">
        <v>32.198601129988113</v>
      </c>
      <c r="R226" s="12">
        <v>46.656652806454929</v>
      </c>
    </row>
    <row r="227" spans="1:18" ht="32.1" customHeight="1" x14ac:dyDescent="0.25">
      <c r="A227" s="10" t="s">
        <v>56</v>
      </c>
      <c r="B227" s="10" t="s">
        <v>94</v>
      </c>
      <c r="C227" s="10" t="s">
        <v>3</v>
      </c>
      <c r="D227" s="10" t="s">
        <v>63</v>
      </c>
      <c r="E227" s="10" t="s">
        <v>106</v>
      </c>
      <c r="F227" s="10" t="s">
        <v>169</v>
      </c>
      <c r="G227" s="11">
        <v>42</v>
      </c>
      <c r="H227" s="12">
        <v>43.672262873900458</v>
      </c>
      <c r="I227" s="12">
        <v>38.655565101907499</v>
      </c>
      <c r="J227" s="12">
        <v>73.457577889062534</v>
      </c>
      <c r="K227" s="12"/>
      <c r="L227" s="12">
        <v>16.785896914330159</v>
      </c>
      <c r="M227" s="12">
        <v>81.303503582481312</v>
      </c>
      <c r="N227" s="12">
        <v>15.91315834927441</v>
      </c>
      <c r="O227" s="12">
        <v>0.36437677606086399</v>
      </c>
      <c r="P227" s="10" t="s">
        <v>168</v>
      </c>
      <c r="Q227" s="12">
        <v>30.864434521009201</v>
      </c>
      <c r="R227" s="12">
        <v>45.672262873900458</v>
      </c>
    </row>
    <row r="228" spans="1:18" ht="32.1" customHeight="1" x14ac:dyDescent="0.25">
      <c r="A228" s="10" t="s">
        <v>56</v>
      </c>
      <c r="B228" s="10" t="s">
        <v>94</v>
      </c>
      <c r="C228" s="10" t="s">
        <v>3</v>
      </c>
      <c r="D228" s="10" t="s">
        <v>63</v>
      </c>
      <c r="E228" s="10" t="s">
        <v>107</v>
      </c>
      <c r="F228" s="10" t="s">
        <v>167</v>
      </c>
      <c r="G228" s="11">
        <v>597</v>
      </c>
      <c r="H228" s="12">
        <v>35.92193753184808</v>
      </c>
      <c r="I228" s="12">
        <v>32.886517945406247</v>
      </c>
      <c r="J228" s="12">
        <v>61.637205781778931</v>
      </c>
      <c r="K228" s="12"/>
      <c r="L228" s="12">
        <v>10.28891357606056</v>
      </c>
      <c r="M228" s="12">
        <v>115.76773693095519</v>
      </c>
      <c r="N228" s="12">
        <v>13.886895522329199</v>
      </c>
      <c r="O228" s="12">
        <v>0.3865853702912655</v>
      </c>
      <c r="P228" s="10" t="s">
        <v>168</v>
      </c>
      <c r="Q228" s="12">
        <v>26.020197071788409</v>
      </c>
      <c r="R228" s="12">
        <v>37.921937531848087</v>
      </c>
    </row>
    <row r="229" spans="1:18" ht="32.1" customHeight="1" x14ac:dyDescent="0.25">
      <c r="A229" s="10" t="s">
        <v>56</v>
      </c>
      <c r="B229" s="10" t="s">
        <v>94</v>
      </c>
      <c r="C229" s="10" t="s">
        <v>3</v>
      </c>
      <c r="D229" s="10" t="s">
        <v>63</v>
      </c>
      <c r="E229" s="10" t="s">
        <v>107</v>
      </c>
      <c r="F229" s="10" t="s">
        <v>169</v>
      </c>
      <c r="G229" s="11">
        <v>31</v>
      </c>
      <c r="H229" s="12">
        <v>54.198183559125582</v>
      </c>
      <c r="I229" s="12">
        <v>34.39166690355448</v>
      </c>
      <c r="J229" s="12">
        <v>63.927887241673659</v>
      </c>
      <c r="K229" s="12"/>
      <c r="L229" s="12">
        <v>14.984708010628561</v>
      </c>
      <c r="M229" s="12">
        <v>611.91704804452695</v>
      </c>
      <c r="N229" s="12">
        <v>104.2498474258372</v>
      </c>
      <c r="O229" s="12">
        <v>1.923493382616956</v>
      </c>
      <c r="P229" s="10" t="s">
        <v>168</v>
      </c>
      <c r="Q229" s="12">
        <v>39.022692162570422</v>
      </c>
      <c r="R229" s="12">
        <v>56.198183559125582</v>
      </c>
    </row>
    <row r="230" spans="1:18" ht="32.1" customHeight="1" x14ac:dyDescent="0.25">
      <c r="A230" s="10" t="s">
        <v>56</v>
      </c>
      <c r="B230" s="10" t="s">
        <v>94</v>
      </c>
      <c r="C230" s="10" t="s">
        <v>3</v>
      </c>
      <c r="D230" s="10" t="s">
        <v>63</v>
      </c>
      <c r="E230" s="10" t="s">
        <v>108</v>
      </c>
      <c r="F230" s="10" t="s">
        <v>167</v>
      </c>
      <c r="G230" s="11">
        <v>573</v>
      </c>
      <c r="H230" s="12">
        <v>40.8400473811948</v>
      </c>
      <c r="I230" s="12">
        <v>35.079493923455807</v>
      </c>
      <c r="J230" s="12">
        <v>69.626064154513614</v>
      </c>
      <c r="K230" s="12"/>
      <c r="L230" s="12">
        <v>13.239310267853821</v>
      </c>
      <c r="M230" s="12">
        <v>677.13513745172156</v>
      </c>
      <c r="N230" s="12">
        <v>44.027320630077753</v>
      </c>
      <c r="O230" s="12">
        <v>1.0780428391557291</v>
      </c>
      <c r="P230" s="10" t="s">
        <v>168</v>
      </c>
      <c r="Q230" s="12">
        <v>28.698894138826599</v>
      </c>
      <c r="R230" s="12">
        <v>42.8400473811948</v>
      </c>
    </row>
    <row r="231" spans="1:18" ht="32.1" customHeight="1" x14ac:dyDescent="0.25">
      <c r="A231" s="10" t="s">
        <v>56</v>
      </c>
      <c r="B231" s="10" t="s">
        <v>94</v>
      </c>
      <c r="C231" s="10" t="s">
        <v>3</v>
      </c>
      <c r="D231" s="10" t="s">
        <v>63</v>
      </c>
      <c r="E231" s="10" t="s">
        <v>108</v>
      </c>
      <c r="F231" s="10" t="s">
        <v>169</v>
      </c>
      <c r="G231" s="11">
        <v>38</v>
      </c>
      <c r="H231" s="12">
        <v>39.313169817591138</v>
      </c>
      <c r="I231" s="12">
        <v>36.57310361323286</v>
      </c>
      <c r="J231" s="12">
        <v>59.34491374660881</v>
      </c>
      <c r="K231" s="12"/>
      <c r="L231" s="12">
        <v>13.704776960322279</v>
      </c>
      <c r="M231" s="12">
        <v>127.6564788673887</v>
      </c>
      <c r="N231" s="12">
        <v>18.98998887112506</v>
      </c>
      <c r="O231" s="12">
        <v>0.48304395090084468</v>
      </c>
      <c r="P231" s="10" t="s">
        <v>168</v>
      </c>
      <c r="Q231" s="12">
        <v>28.375845209633528</v>
      </c>
      <c r="R231" s="12">
        <v>41.313169817591138</v>
      </c>
    </row>
    <row r="232" spans="1:18" ht="32.1" customHeight="1" x14ac:dyDescent="0.25">
      <c r="A232" s="10" t="s">
        <v>56</v>
      </c>
      <c r="B232" s="10" t="s">
        <v>94</v>
      </c>
      <c r="C232" s="10" t="s">
        <v>3</v>
      </c>
      <c r="D232" s="10" t="s">
        <v>63</v>
      </c>
      <c r="E232" s="10" t="s">
        <v>109</v>
      </c>
      <c r="F232" s="10" t="s">
        <v>167</v>
      </c>
      <c r="G232" s="11">
        <v>592</v>
      </c>
      <c r="H232" s="12">
        <v>46.452338613506171</v>
      </c>
      <c r="I232" s="12">
        <v>40.693156142226769</v>
      </c>
      <c r="J232" s="12">
        <v>73.287287765289264</v>
      </c>
      <c r="K232" s="12"/>
      <c r="L232" s="12">
        <v>11.016586446049811</v>
      </c>
      <c r="M232" s="12">
        <v>803.05451983370801</v>
      </c>
      <c r="N232" s="12">
        <v>47.122620827483061</v>
      </c>
      <c r="O232" s="12">
        <v>1.014429461120435</v>
      </c>
      <c r="P232" s="10" t="s">
        <v>168</v>
      </c>
      <c r="Q232" s="12">
        <v>33.560108339211041</v>
      </c>
      <c r="R232" s="12">
        <v>48.452338613506171</v>
      </c>
    </row>
    <row r="233" spans="1:18" ht="32.1" customHeight="1" x14ac:dyDescent="0.25">
      <c r="A233" s="10" t="s">
        <v>56</v>
      </c>
      <c r="B233" s="10" t="s">
        <v>94</v>
      </c>
      <c r="C233" s="10" t="s">
        <v>3</v>
      </c>
      <c r="D233" s="10" t="s">
        <v>63</v>
      </c>
      <c r="E233" s="10" t="s">
        <v>109</v>
      </c>
      <c r="F233" s="10" t="s">
        <v>169</v>
      </c>
      <c r="G233" s="11">
        <v>29</v>
      </c>
      <c r="H233" s="12">
        <v>39.65384704426873</v>
      </c>
      <c r="I233" s="12">
        <v>35.337039736253942</v>
      </c>
      <c r="J233" s="12">
        <v>59.833081018209377</v>
      </c>
      <c r="K233" s="12"/>
      <c r="L233" s="12">
        <v>21.782045068077881</v>
      </c>
      <c r="M233" s="12">
        <v>74.581079101963994</v>
      </c>
      <c r="N233" s="12">
        <v>12.7944811516219</v>
      </c>
      <c r="O233" s="12">
        <v>0.32265422160272128</v>
      </c>
      <c r="P233" s="10" t="s">
        <v>168</v>
      </c>
      <c r="Q233" s="12">
        <v>29.231951142794468</v>
      </c>
      <c r="R233" s="12">
        <v>41.65384704426873</v>
      </c>
    </row>
    <row r="234" spans="1:18" ht="32.1" customHeight="1" x14ac:dyDescent="0.25">
      <c r="A234" s="10" t="s">
        <v>56</v>
      </c>
      <c r="B234" s="10" t="s">
        <v>94</v>
      </c>
      <c r="C234" s="10" t="s">
        <v>3</v>
      </c>
      <c r="D234" s="10" t="s">
        <v>63</v>
      </c>
      <c r="E234" s="10" t="s">
        <v>110</v>
      </c>
      <c r="F234" s="10" t="s">
        <v>167</v>
      </c>
      <c r="G234" s="11">
        <v>55</v>
      </c>
      <c r="H234" s="12">
        <v>33.591294856126439</v>
      </c>
      <c r="I234" s="12">
        <v>30.3327900119858</v>
      </c>
      <c r="J234" s="12">
        <v>56.892907186941592</v>
      </c>
      <c r="K234" s="12"/>
      <c r="L234" s="12">
        <v>10.449609078163</v>
      </c>
      <c r="M234" s="12">
        <v>71.175501939140744</v>
      </c>
      <c r="N234" s="12">
        <v>13.768236197964651</v>
      </c>
      <c r="O234" s="12">
        <v>0.40987512559235489</v>
      </c>
      <c r="P234" s="10" t="s">
        <v>168</v>
      </c>
      <c r="Q234" s="12">
        <v>24.137835010885588</v>
      </c>
      <c r="R234" s="12">
        <v>35.591294856126439</v>
      </c>
    </row>
    <row r="235" spans="1:18" ht="32.1" customHeight="1" x14ac:dyDescent="0.25">
      <c r="A235" s="10" t="s">
        <v>56</v>
      </c>
      <c r="B235" s="10" t="s">
        <v>94</v>
      </c>
      <c r="C235" s="10" t="s">
        <v>3</v>
      </c>
      <c r="D235" s="10" t="s">
        <v>63</v>
      </c>
      <c r="E235" s="10" t="s">
        <v>110</v>
      </c>
      <c r="F235" s="10" t="s">
        <v>169</v>
      </c>
      <c r="G235" s="11">
        <v>2</v>
      </c>
      <c r="H235" s="12">
        <v>31.385982959643801</v>
      </c>
      <c r="I235" s="12">
        <v>31.385982959643801</v>
      </c>
      <c r="J235" s="12"/>
      <c r="K235" s="12"/>
      <c r="L235" s="12">
        <v>28.65157213685146</v>
      </c>
      <c r="M235" s="12">
        <v>34.120393782436132</v>
      </c>
      <c r="N235" s="12">
        <v>3.867040870692696</v>
      </c>
      <c r="O235" s="12">
        <v>0.1232091687446893</v>
      </c>
      <c r="P235" s="10" t="s">
        <v>168</v>
      </c>
      <c r="Q235" s="12">
        <v>22.597907730943529</v>
      </c>
      <c r="R235" s="12">
        <v>33.385982959643798</v>
      </c>
    </row>
    <row r="236" spans="1:18" ht="32.1" customHeight="1" x14ac:dyDescent="0.25">
      <c r="A236" s="10" t="s">
        <v>56</v>
      </c>
      <c r="B236" s="10" t="s">
        <v>94</v>
      </c>
      <c r="C236" s="10" t="s">
        <v>3</v>
      </c>
      <c r="D236" s="10" t="s">
        <v>63</v>
      </c>
      <c r="E236" s="10" t="s">
        <v>111</v>
      </c>
      <c r="F236" s="10" t="s">
        <v>167</v>
      </c>
      <c r="G236" s="11">
        <v>68</v>
      </c>
      <c r="H236" s="12">
        <v>38.241172298313927</v>
      </c>
      <c r="I236" s="12">
        <v>32.588631790249543</v>
      </c>
      <c r="J236" s="12">
        <v>63.682836716695377</v>
      </c>
      <c r="K236" s="12"/>
      <c r="L236" s="12">
        <v>14.308686919016541</v>
      </c>
      <c r="M236" s="12">
        <v>326.56527074764892</v>
      </c>
      <c r="N236" s="12">
        <v>38.04454674482168</v>
      </c>
      <c r="O236" s="12">
        <v>0.99485827599744037</v>
      </c>
      <c r="P236" s="10" t="s">
        <v>168</v>
      </c>
      <c r="Q236" s="12">
        <v>28.41509452989612</v>
      </c>
      <c r="R236" s="12">
        <v>40.241172298313927</v>
      </c>
    </row>
    <row r="237" spans="1:18" ht="32.1" customHeight="1" x14ac:dyDescent="0.25">
      <c r="A237" s="10" t="s">
        <v>56</v>
      </c>
      <c r="B237" s="10" t="s">
        <v>94</v>
      </c>
      <c r="C237" s="10" t="s">
        <v>3</v>
      </c>
      <c r="D237" s="10" t="s">
        <v>63</v>
      </c>
      <c r="E237" s="10" t="s">
        <v>111</v>
      </c>
      <c r="F237" s="10" t="s">
        <v>169</v>
      </c>
      <c r="G237" s="11">
        <v>3</v>
      </c>
      <c r="H237" s="12">
        <v>24.53132110523384</v>
      </c>
      <c r="I237" s="12">
        <v>24.891410566671361</v>
      </c>
      <c r="J237" s="12"/>
      <c r="K237" s="12"/>
      <c r="L237" s="12">
        <v>22.462748160422819</v>
      </c>
      <c r="M237" s="12">
        <v>26.239804588607338</v>
      </c>
      <c r="N237" s="12">
        <v>1.9141021735010031</v>
      </c>
      <c r="O237" s="12">
        <v>7.80268688053911E-2</v>
      </c>
      <c r="P237" s="10" t="s">
        <v>168</v>
      </c>
      <c r="Q237" s="12">
        <v>17.662551195768359</v>
      </c>
      <c r="R237" s="12">
        <v>26.53132110523384</v>
      </c>
    </row>
    <row r="238" spans="1:18" ht="32.1" customHeight="1" x14ac:dyDescent="0.25">
      <c r="A238" s="10" t="s">
        <v>56</v>
      </c>
      <c r="B238" s="10" t="s">
        <v>94</v>
      </c>
      <c r="C238" s="10" t="s">
        <v>3</v>
      </c>
      <c r="D238" s="10" t="s">
        <v>63</v>
      </c>
      <c r="E238" s="10" t="s">
        <v>112</v>
      </c>
      <c r="F238" s="10" t="s">
        <v>167</v>
      </c>
      <c r="G238" s="11">
        <v>57</v>
      </c>
      <c r="H238" s="12">
        <v>45.365536496042402</v>
      </c>
      <c r="I238" s="12">
        <v>41.48766344796374</v>
      </c>
      <c r="J238" s="12">
        <v>78.275305021613704</v>
      </c>
      <c r="K238" s="12"/>
      <c r="L238" s="12">
        <v>18.984727855739809</v>
      </c>
      <c r="M238" s="12">
        <v>137.54791530792329</v>
      </c>
      <c r="N238" s="12">
        <v>21.323374086898379</v>
      </c>
      <c r="O238" s="12">
        <v>0.47003465039498837</v>
      </c>
      <c r="P238" s="10" t="s">
        <v>168</v>
      </c>
      <c r="Q238" s="12">
        <v>32.663186277150523</v>
      </c>
      <c r="R238" s="12">
        <v>47.365536496042402</v>
      </c>
    </row>
    <row r="239" spans="1:18" ht="32.1" customHeight="1" x14ac:dyDescent="0.25">
      <c r="A239" s="10" t="s">
        <v>56</v>
      </c>
      <c r="B239" s="10" t="s">
        <v>94</v>
      </c>
      <c r="C239" s="10" t="s">
        <v>3</v>
      </c>
      <c r="D239" s="10" t="s">
        <v>63</v>
      </c>
      <c r="E239" s="10" t="s">
        <v>112</v>
      </c>
      <c r="F239" s="10" t="s">
        <v>169</v>
      </c>
      <c r="G239" s="11">
        <v>4</v>
      </c>
      <c r="H239" s="12">
        <v>58.036311421135053</v>
      </c>
      <c r="I239" s="12">
        <v>60.627035140483613</v>
      </c>
      <c r="J239" s="12"/>
      <c r="K239" s="12"/>
      <c r="L239" s="12">
        <v>37.828170004067118</v>
      </c>
      <c r="M239" s="12">
        <v>73.063005399505883</v>
      </c>
      <c r="N239" s="12">
        <v>16.897717312774748</v>
      </c>
      <c r="O239" s="12">
        <v>0.29115767179202767</v>
      </c>
      <c r="P239" s="10" t="s">
        <v>168</v>
      </c>
      <c r="Q239" s="12">
        <v>41.786144223217242</v>
      </c>
      <c r="R239" s="12">
        <v>60.036311421135053</v>
      </c>
    </row>
    <row r="240" spans="1:18" ht="32.1" customHeight="1" x14ac:dyDescent="0.25">
      <c r="A240" s="10" t="s">
        <v>56</v>
      </c>
      <c r="B240" s="10" t="s">
        <v>94</v>
      </c>
      <c r="C240" s="10" t="s">
        <v>3</v>
      </c>
      <c r="D240" s="10" t="s">
        <v>63</v>
      </c>
      <c r="E240" s="10" t="s">
        <v>113</v>
      </c>
      <c r="F240" s="10" t="s">
        <v>167</v>
      </c>
      <c r="G240" s="11">
        <v>65</v>
      </c>
      <c r="H240" s="12">
        <v>36.280288272137547</v>
      </c>
      <c r="I240" s="12">
        <v>34.414250872312593</v>
      </c>
      <c r="J240" s="12">
        <v>61.919868395396797</v>
      </c>
      <c r="K240" s="12"/>
      <c r="L240" s="12">
        <v>14.90152458257328</v>
      </c>
      <c r="M240" s="12">
        <v>67.368953837179575</v>
      </c>
      <c r="N240" s="12">
        <v>13.29808102181059</v>
      </c>
      <c r="O240" s="12">
        <v>0.3665373583049289</v>
      </c>
      <c r="P240" s="10" t="s">
        <v>168</v>
      </c>
      <c r="Q240" s="12">
        <v>26.65498271173238</v>
      </c>
      <c r="R240" s="12">
        <v>38.280288272137547</v>
      </c>
    </row>
    <row r="241" spans="1:18" ht="32.1" customHeight="1" x14ac:dyDescent="0.25">
      <c r="A241" s="10" t="s">
        <v>56</v>
      </c>
      <c r="B241" s="10" t="s">
        <v>94</v>
      </c>
      <c r="C241" s="10" t="s">
        <v>3</v>
      </c>
      <c r="D241" s="10" t="s">
        <v>63</v>
      </c>
      <c r="E241" s="10" t="s">
        <v>113</v>
      </c>
      <c r="F241" s="10" t="s">
        <v>169</v>
      </c>
      <c r="G241" s="11">
        <v>8</v>
      </c>
      <c r="H241" s="12">
        <v>90.193293434831517</v>
      </c>
      <c r="I241" s="12">
        <v>42.859920192290929</v>
      </c>
      <c r="J241" s="12"/>
      <c r="K241" s="12"/>
      <c r="L241" s="12">
        <v>23.353784849732751</v>
      </c>
      <c r="M241" s="12">
        <v>461.7550567691344</v>
      </c>
      <c r="N241" s="12">
        <v>150.44512974492389</v>
      </c>
      <c r="O241" s="12">
        <v>1.668030116381402</v>
      </c>
      <c r="P241" s="10" t="s">
        <v>168</v>
      </c>
      <c r="Q241" s="12">
        <v>64.939171273078713</v>
      </c>
      <c r="R241" s="12">
        <v>92.19329343483156</v>
      </c>
    </row>
    <row r="242" spans="1:18" ht="32.1" customHeight="1" x14ac:dyDescent="0.25">
      <c r="A242" s="10" t="s">
        <v>56</v>
      </c>
      <c r="B242" s="10" t="s">
        <v>94</v>
      </c>
      <c r="C242" s="10" t="s">
        <v>3</v>
      </c>
      <c r="D242" s="10" t="s">
        <v>63</v>
      </c>
      <c r="E242" s="10" t="s">
        <v>114</v>
      </c>
      <c r="F242" s="10" t="s">
        <v>167</v>
      </c>
      <c r="G242" s="11">
        <v>62</v>
      </c>
      <c r="H242" s="12">
        <v>33.318857187394883</v>
      </c>
      <c r="I242" s="12">
        <v>30.944472135177879</v>
      </c>
      <c r="J242" s="12">
        <v>58.892767157747372</v>
      </c>
      <c r="K242" s="12"/>
      <c r="L242" s="12">
        <v>10.3969913228379</v>
      </c>
      <c r="M242" s="12">
        <v>73.377324785685019</v>
      </c>
      <c r="N242" s="12">
        <v>12.909235626294089</v>
      </c>
      <c r="O242" s="12">
        <v>0.38744533024313582</v>
      </c>
      <c r="P242" s="10" t="s">
        <v>168</v>
      </c>
      <c r="Q242" s="12">
        <v>23.714324050307809</v>
      </c>
      <c r="R242" s="12">
        <v>35.318857187394869</v>
      </c>
    </row>
    <row r="243" spans="1:18" ht="32.1" customHeight="1" x14ac:dyDescent="0.25">
      <c r="A243" s="10" t="s">
        <v>56</v>
      </c>
      <c r="B243" s="10" t="s">
        <v>94</v>
      </c>
      <c r="C243" s="10" t="s">
        <v>3</v>
      </c>
      <c r="D243" s="10" t="s">
        <v>63</v>
      </c>
      <c r="E243" s="10" t="s">
        <v>115</v>
      </c>
      <c r="F243" s="10" t="s">
        <v>167</v>
      </c>
      <c r="G243" s="11">
        <v>240</v>
      </c>
      <c r="H243" s="12">
        <v>35.732711478876283</v>
      </c>
      <c r="I243" s="12">
        <v>30.437308909079199</v>
      </c>
      <c r="J243" s="12">
        <v>59.918360771608192</v>
      </c>
      <c r="K243" s="12"/>
      <c r="L243" s="12">
        <v>11.58338405151909</v>
      </c>
      <c r="M243" s="12">
        <v>334.14970420667072</v>
      </c>
      <c r="N243" s="12">
        <v>28.63241710419976</v>
      </c>
      <c r="O243" s="12">
        <v>0.80129427404707521</v>
      </c>
      <c r="P243" s="10" t="s">
        <v>168</v>
      </c>
      <c r="Q243" s="12">
        <v>25.67656674802037</v>
      </c>
      <c r="R243" s="12">
        <v>37.732711478876283</v>
      </c>
    </row>
    <row r="244" spans="1:18" ht="32.1" customHeight="1" x14ac:dyDescent="0.25">
      <c r="A244" s="10" t="s">
        <v>56</v>
      </c>
      <c r="B244" s="10" t="s">
        <v>94</v>
      </c>
      <c r="C244" s="10" t="s">
        <v>3</v>
      </c>
      <c r="D244" s="10" t="s">
        <v>63</v>
      </c>
      <c r="E244" s="10" t="s">
        <v>115</v>
      </c>
      <c r="F244" s="10" t="s">
        <v>169</v>
      </c>
      <c r="G244" s="11">
        <v>14</v>
      </c>
      <c r="H244" s="12">
        <v>40.545370951312137</v>
      </c>
      <c r="I244" s="12">
        <v>34.263889526488498</v>
      </c>
      <c r="J244" s="12"/>
      <c r="K244" s="12"/>
      <c r="L244" s="12">
        <v>18.8137687169787</v>
      </c>
      <c r="M244" s="12">
        <v>77.334299355181912</v>
      </c>
      <c r="N244" s="12">
        <v>17.58062490867848</v>
      </c>
      <c r="O244" s="12">
        <v>0.43360375046980631</v>
      </c>
      <c r="P244" s="10" t="s">
        <v>168</v>
      </c>
      <c r="Q244" s="12">
        <v>28.74758558051192</v>
      </c>
      <c r="R244" s="12">
        <v>42.545370951312137</v>
      </c>
    </row>
    <row r="245" spans="1:18" ht="32.1" customHeight="1" x14ac:dyDescent="0.25">
      <c r="A245" s="10" t="s">
        <v>56</v>
      </c>
      <c r="B245" s="10" t="s">
        <v>94</v>
      </c>
      <c r="C245" s="10" t="s">
        <v>3</v>
      </c>
      <c r="D245" s="10" t="s">
        <v>63</v>
      </c>
      <c r="E245" s="10" t="s">
        <v>116</v>
      </c>
      <c r="F245" s="10" t="s">
        <v>167</v>
      </c>
      <c r="G245" s="11">
        <v>233</v>
      </c>
      <c r="H245" s="12">
        <v>34.471720898964158</v>
      </c>
      <c r="I245" s="12">
        <v>31.42577436908752</v>
      </c>
      <c r="J245" s="12">
        <v>62.64313261171953</v>
      </c>
      <c r="K245" s="12"/>
      <c r="L245" s="12">
        <v>14.27171629357524</v>
      </c>
      <c r="M245" s="12">
        <v>85.539550333121809</v>
      </c>
      <c r="N245" s="12">
        <v>13.05968305895613</v>
      </c>
      <c r="O245" s="12">
        <v>0.37885207695994538</v>
      </c>
      <c r="P245" s="10" t="s">
        <v>168</v>
      </c>
      <c r="Q245" s="12">
        <v>24.977850732747569</v>
      </c>
      <c r="R245" s="12">
        <v>36.471720898964158</v>
      </c>
    </row>
    <row r="246" spans="1:18" ht="32.1" customHeight="1" x14ac:dyDescent="0.25">
      <c r="A246" s="10" t="s">
        <v>56</v>
      </c>
      <c r="B246" s="10" t="s">
        <v>94</v>
      </c>
      <c r="C246" s="10" t="s">
        <v>3</v>
      </c>
      <c r="D246" s="10" t="s">
        <v>63</v>
      </c>
      <c r="E246" s="10" t="s">
        <v>116</v>
      </c>
      <c r="F246" s="10" t="s">
        <v>169</v>
      </c>
      <c r="G246" s="11">
        <v>15</v>
      </c>
      <c r="H246" s="12">
        <v>38.619996750960418</v>
      </c>
      <c r="I246" s="12">
        <v>35.091097047029152</v>
      </c>
      <c r="J246" s="12"/>
      <c r="K246" s="12"/>
      <c r="L246" s="12">
        <v>18.62488651950434</v>
      </c>
      <c r="M246" s="12">
        <v>65.521676108599749</v>
      </c>
      <c r="N246" s="12">
        <v>12.516625215475781</v>
      </c>
      <c r="O246" s="12">
        <v>0.32409700332676761</v>
      </c>
      <c r="P246" s="10" t="s">
        <v>168</v>
      </c>
      <c r="Q246" s="12">
        <v>28.12496166302542</v>
      </c>
      <c r="R246" s="12">
        <v>40.619996750960418</v>
      </c>
    </row>
    <row r="247" spans="1:18" ht="32.1" customHeight="1" x14ac:dyDescent="0.25">
      <c r="A247" s="10" t="s">
        <v>56</v>
      </c>
      <c r="B247" s="10" t="s">
        <v>94</v>
      </c>
      <c r="C247" s="10" t="s">
        <v>3</v>
      </c>
      <c r="D247" s="10" t="s">
        <v>63</v>
      </c>
      <c r="E247" s="10" t="s">
        <v>117</v>
      </c>
      <c r="F247" s="10" t="s">
        <v>167</v>
      </c>
      <c r="G247" s="11">
        <v>243</v>
      </c>
      <c r="H247" s="12">
        <v>38.0120305547442</v>
      </c>
      <c r="I247" s="12">
        <v>34.230761528587649</v>
      </c>
      <c r="J247" s="12">
        <v>64.033303132620091</v>
      </c>
      <c r="K247" s="12"/>
      <c r="L247" s="12">
        <v>11.229244084474519</v>
      </c>
      <c r="M247" s="12">
        <v>385.6791229483577</v>
      </c>
      <c r="N247" s="12">
        <v>26.646254640425781</v>
      </c>
      <c r="O247" s="12">
        <v>0.70099529679295502</v>
      </c>
      <c r="P247" s="10" t="s">
        <v>168</v>
      </c>
      <c r="Q247" s="12">
        <v>27.564540059721619</v>
      </c>
      <c r="R247" s="12">
        <v>40.012030554744207</v>
      </c>
    </row>
    <row r="248" spans="1:18" ht="32.1" customHeight="1" x14ac:dyDescent="0.25">
      <c r="A248" s="10" t="s">
        <v>56</v>
      </c>
      <c r="B248" s="10" t="s">
        <v>94</v>
      </c>
      <c r="C248" s="10" t="s">
        <v>3</v>
      </c>
      <c r="D248" s="10" t="s">
        <v>63</v>
      </c>
      <c r="E248" s="10" t="s">
        <v>117</v>
      </c>
      <c r="F248" s="10" t="s">
        <v>169</v>
      </c>
      <c r="G248" s="11">
        <v>12</v>
      </c>
      <c r="H248" s="12">
        <v>30.18475750025009</v>
      </c>
      <c r="I248" s="12">
        <v>27.47197225629154</v>
      </c>
      <c r="J248" s="12"/>
      <c r="K248" s="12"/>
      <c r="L248" s="12">
        <v>12.01928346196194</v>
      </c>
      <c r="M248" s="12">
        <v>53.26638438656493</v>
      </c>
      <c r="N248" s="12">
        <v>12.059454273170481</v>
      </c>
      <c r="O248" s="12">
        <v>0.3995213237366762</v>
      </c>
      <c r="P248" s="10" t="s">
        <v>168</v>
      </c>
      <c r="Q248" s="12">
        <v>22.281064512093671</v>
      </c>
      <c r="R248" s="12">
        <v>32.184757500250093</v>
      </c>
    </row>
    <row r="249" spans="1:18" ht="32.1" customHeight="1" x14ac:dyDescent="0.25">
      <c r="A249" s="10" t="s">
        <v>56</v>
      </c>
      <c r="B249" s="10" t="s">
        <v>94</v>
      </c>
      <c r="C249" s="10" t="s">
        <v>3</v>
      </c>
      <c r="D249" s="10" t="s">
        <v>63</v>
      </c>
      <c r="E249" s="10" t="s">
        <v>118</v>
      </c>
      <c r="F249" s="10" t="s">
        <v>167</v>
      </c>
      <c r="G249" s="11">
        <v>233</v>
      </c>
      <c r="H249" s="12">
        <v>34.813087205637622</v>
      </c>
      <c r="I249" s="12">
        <v>33.318791964620608</v>
      </c>
      <c r="J249" s="12">
        <v>58.470300622234241</v>
      </c>
      <c r="K249" s="12"/>
      <c r="L249" s="12">
        <v>10.710645660822021</v>
      </c>
      <c r="M249" s="12">
        <v>85.685681518601498</v>
      </c>
      <c r="N249" s="12">
        <v>13.28349252572586</v>
      </c>
      <c r="O249" s="12">
        <v>0.38156606012162941</v>
      </c>
      <c r="P249" s="10" t="s">
        <v>168</v>
      </c>
      <c r="Q249" s="12">
        <v>25.076979335557422</v>
      </c>
      <c r="R249" s="12">
        <v>36.813087205637622</v>
      </c>
    </row>
    <row r="250" spans="1:18" ht="32.1" customHeight="1" x14ac:dyDescent="0.25">
      <c r="A250" s="10" t="s">
        <v>56</v>
      </c>
      <c r="B250" s="10" t="s">
        <v>94</v>
      </c>
      <c r="C250" s="10" t="s">
        <v>3</v>
      </c>
      <c r="D250" s="10" t="s">
        <v>63</v>
      </c>
      <c r="E250" s="10" t="s">
        <v>118</v>
      </c>
      <c r="F250" s="10" t="s">
        <v>169</v>
      </c>
      <c r="G250" s="11">
        <v>15</v>
      </c>
      <c r="H250" s="12">
        <v>34.575082471906562</v>
      </c>
      <c r="I250" s="12">
        <v>30.057524830802521</v>
      </c>
      <c r="J250" s="12"/>
      <c r="K250" s="12"/>
      <c r="L250" s="12">
        <v>16.11298189448404</v>
      </c>
      <c r="M250" s="12">
        <v>72.655370153543927</v>
      </c>
      <c r="N250" s="12">
        <v>15.361933285933899</v>
      </c>
      <c r="O250" s="12">
        <v>0.44430648280928892</v>
      </c>
      <c r="P250" s="10" t="s">
        <v>168</v>
      </c>
      <c r="Q250" s="12">
        <v>24.6561195293468</v>
      </c>
      <c r="R250" s="12">
        <v>36.575082471906583</v>
      </c>
    </row>
    <row r="251" spans="1:18" ht="32.1" customHeight="1" x14ac:dyDescent="0.25">
      <c r="A251" s="10" t="s">
        <v>56</v>
      </c>
      <c r="B251" s="10" t="s">
        <v>94</v>
      </c>
      <c r="C251" s="10" t="s">
        <v>3</v>
      </c>
      <c r="D251" s="10" t="s">
        <v>63</v>
      </c>
      <c r="E251" s="10" t="s">
        <v>119</v>
      </c>
      <c r="F251" s="10" t="s">
        <v>167</v>
      </c>
      <c r="G251" s="11">
        <v>243</v>
      </c>
      <c r="H251" s="12">
        <v>40.428722995786842</v>
      </c>
      <c r="I251" s="12">
        <v>31.620059386993361</v>
      </c>
      <c r="J251" s="12">
        <v>55.103795195773579</v>
      </c>
      <c r="K251" s="12"/>
      <c r="L251" s="12">
        <v>11.68303620763111</v>
      </c>
      <c r="M251" s="12">
        <v>899.67941178412661</v>
      </c>
      <c r="N251" s="12">
        <v>72.289199594489432</v>
      </c>
      <c r="O251" s="12">
        <v>1.7880653712961161</v>
      </c>
      <c r="P251" s="10" t="s">
        <v>168</v>
      </c>
      <c r="Q251" s="12">
        <v>29.382906015254701</v>
      </c>
      <c r="R251" s="12">
        <v>42.428722995786842</v>
      </c>
    </row>
    <row r="252" spans="1:18" ht="32.1" customHeight="1" x14ac:dyDescent="0.25">
      <c r="A252" s="10" t="s">
        <v>56</v>
      </c>
      <c r="B252" s="10" t="s">
        <v>94</v>
      </c>
      <c r="C252" s="10" t="s">
        <v>3</v>
      </c>
      <c r="D252" s="10" t="s">
        <v>63</v>
      </c>
      <c r="E252" s="10" t="s">
        <v>119</v>
      </c>
      <c r="F252" s="10" t="s">
        <v>169</v>
      </c>
      <c r="G252" s="11">
        <v>5</v>
      </c>
      <c r="H252" s="12">
        <v>35.472788407682287</v>
      </c>
      <c r="I252" s="12">
        <v>32.330804940448452</v>
      </c>
      <c r="J252" s="12"/>
      <c r="K252" s="12"/>
      <c r="L252" s="12">
        <v>20.218372098604959</v>
      </c>
      <c r="M252" s="12">
        <v>60.688865987499703</v>
      </c>
      <c r="N252" s="12">
        <v>15.36294175781773</v>
      </c>
      <c r="O252" s="12">
        <v>0.43309089720419591</v>
      </c>
      <c r="P252" s="10" t="s">
        <v>168</v>
      </c>
      <c r="Q252" s="12">
        <v>21.001513689164121</v>
      </c>
      <c r="R252" s="12">
        <v>37.472788407682287</v>
      </c>
    </row>
    <row r="253" spans="1:18" ht="32.1" customHeight="1" x14ac:dyDescent="0.25">
      <c r="A253" s="10" t="s">
        <v>56</v>
      </c>
      <c r="B253" s="10" t="s">
        <v>94</v>
      </c>
      <c r="C253" s="10" t="s">
        <v>3</v>
      </c>
      <c r="D253" s="10" t="s">
        <v>64</v>
      </c>
      <c r="E253" s="10" t="s">
        <v>104</v>
      </c>
      <c r="F253" s="10" t="s">
        <v>167</v>
      </c>
      <c r="G253" s="11">
        <v>168</v>
      </c>
      <c r="H253" s="12">
        <v>63.751282748485131</v>
      </c>
      <c r="I253" s="12">
        <v>60.252961207221652</v>
      </c>
      <c r="J253" s="12">
        <v>111.79295656763991</v>
      </c>
      <c r="K253" s="12"/>
      <c r="L253" s="12">
        <v>22.260780388821139</v>
      </c>
      <c r="M253" s="12">
        <v>173.13343054778261</v>
      </c>
      <c r="N253" s="12">
        <v>25.935908695931939</v>
      </c>
      <c r="O253" s="12">
        <v>0.40682959742560199</v>
      </c>
      <c r="P253" s="10" t="s">
        <v>168</v>
      </c>
      <c r="Q253" s="12">
        <v>46.01691698962064</v>
      </c>
      <c r="R253" s="12">
        <v>65.751282748485139</v>
      </c>
    </row>
    <row r="254" spans="1:18" ht="32.1" customHeight="1" x14ac:dyDescent="0.25">
      <c r="A254" s="10" t="s">
        <v>56</v>
      </c>
      <c r="B254" s="10" t="s">
        <v>94</v>
      </c>
      <c r="C254" s="10" t="s">
        <v>3</v>
      </c>
      <c r="D254" s="10" t="s">
        <v>64</v>
      </c>
      <c r="E254" s="10" t="s">
        <v>104</v>
      </c>
      <c r="F254" s="10" t="s">
        <v>169</v>
      </c>
      <c r="G254" s="11">
        <v>13</v>
      </c>
      <c r="H254" s="12">
        <v>67.09610699341053</v>
      </c>
      <c r="I254" s="12">
        <v>66.767308732001823</v>
      </c>
      <c r="J254" s="12"/>
      <c r="K254" s="12"/>
      <c r="L254" s="12">
        <v>36.402103179926499</v>
      </c>
      <c r="M254" s="12">
        <v>103.1899856672826</v>
      </c>
      <c r="N254" s="12">
        <v>21.608726399897272</v>
      </c>
      <c r="O254" s="12">
        <v>0.3220563363239457</v>
      </c>
      <c r="P254" s="10" t="s">
        <v>168</v>
      </c>
      <c r="Q254" s="12">
        <v>48.977591545887087</v>
      </c>
      <c r="R254" s="12">
        <v>69.09610699341053</v>
      </c>
    </row>
    <row r="255" spans="1:18" ht="32.1" customHeight="1" x14ac:dyDescent="0.25">
      <c r="A255" s="10" t="s">
        <v>56</v>
      </c>
      <c r="B255" s="10" t="s">
        <v>94</v>
      </c>
      <c r="C255" s="10" t="s">
        <v>3</v>
      </c>
      <c r="D255" s="10" t="s">
        <v>64</v>
      </c>
      <c r="E255" s="10" t="s">
        <v>106</v>
      </c>
      <c r="F255" s="10" t="s">
        <v>167</v>
      </c>
      <c r="G255" s="11">
        <v>178</v>
      </c>
      <c r="H255" s="12">
        <v>60.909436151822071</v>
      </c>
      <c r="I255" s="12">
        <v>55.721100176409479</v>
      </c>
      <c r="J255" s="12">
        <v>112.64539907663</v>
      </c>
      <c r="K255" s="12"/>
      <c r="L255" s="12">
        <v>18.836434899476711</v>
      </c>
      <c r="M255" s="12">
        <v>181.44757301676529</v>
      </c>
      <c r="N255" s="12">
        <v>24.541116345306921</v>
      </c>
      <c r="O255" s="12">
        <v>0.40291156667640221</v>
      </c>
      <c r="P255" s="10" t="s">
        <v>168</v>
      </c>
      <c r="Q255" s="12">
        <v>44.033474515568457</v>
      </c>
      <c r="R255" s="12">
        <v>62.909436151822071</v>
      </c>
    </row>
    <row r="256" spans="1:18" ht="32.1" customHeight="1" x14ac:dyDescent="0.25">
      <c r="A256" s="10" t="s">
        <v>56</v>
      </c>
      <c r="B256" s="10" t="s">
        <v>94</v>
      </c>
      <c r="C256" s="10" t="s">
        <v>3</v>
      </c>
      <c r="D256" s="10" t="s">
        <v>64</v>
      </c>
      <c r="E256" s="10" t="s">
        <v>106</v>
      </c>
      <c r="F256" s="10" t="s">
        <v>169</v>
      </c>
      <c r="G256" s="11">
        <v>12</v>
      </c>
      <c r="H256" s="12">
        <v>58.717667427556407</v>
      </c>
      <c r="I256" s="12">
        <v>59.779987336259822</v>
      </c>
      <c r="J256" s="12"/>
      <c r="K256" s="12"/>
      <c r="L256" s="12">
        <v>31.94733959419758</v>
      </c>
      <c r="M256" s="12">
        <v>86.685797260638594</v>
      </c>
      <c r="N256" s="12">
        <v>13.73360253874856</v>
      </c>
      <c r="O256" s="12">
        <v>0.23389216807177399</v>
      </c>
      <c r="P256" s="10" t="s">
        <v>168</v>
      </c>
      <c r="Q256" s="12">
        <v>42.276720547840632</v>
      </c>
      <c r="R256" s="12">
        <v>60.717667427556407</v>
      </c>
    </row>
    <row r="257" spans="1:18" ht="32.1" customHeight="1" x14ac:dyDescent="0.25">
      <c r="A257" s="10" t="s">
        <v>56</v>
      </c>
      <c r="B257" s="10" t="s">
        <v>94</v>
      </c>
      <c r="C257" s="10" t="s">
        <v>3</v>
      </c>
      <c r="D257" s="10" t="s">
        <v>64</v>
      </c>
      <c r="E257" s="10" t="s">
        <v>107</v>
      </c>
      <c r="F257" s="10" t="s">
        <v>167</v>
      </c>
      <c r="G257" s="11">
        <v>154</v>
      </c>
      <c r="H257" s="12">
        <v>54.660608942489453</v>
      </c>
      <c r="I257" s="12">
        <v>51.497236270004628</v>
      </c>
      <c r="J257" s="12">
        <v>93.91973864258388</v>
      </c>
      <c r="K257" s="12"/>
      <c r="L257" s="12">
        <v>19.974686057446071</v>
      </c>
      <c r="M257" s="12">
        <v>130.2797821936089</v>
      </c>
      <c r="N257" s="12">
        <v>21.051067736388411</v>
      </c>
      <c r="O257" s="12">
        <v>0.38512318365382742</v>
      </c>
      <c r="P257" s="10" t="s">
        <v>168</v>
      </c>
      <c r="Q257" s="12">
        <v>38.921698544146658</v>
      </c>
      <c r="R257" s="12">
        <v>56.660608942489453</v>
      </c>
    </row>
    <row r="258" spans="1:18" ht="32.1" customHeight="1" x14ac:dyDescent="0.25">
      <c r="A258" s="10" t="s">
        <v>56</v>
      </c>
      <c r="B258" s="10" t="s">
        <v>94</v>
      </c>
      <c r="C258" s="10" t="s">
        <v>3</v>
      </c>
      <c r="D258" s="10" t="s">
        <v>64</v>
      </c>
      <c r="E258" s="10" t="s">
        <v>107</v>
      </c>
      <c r="F258" s="10" t="s">
        <v>169</v>
      </c>
      <c r="G258" s="11">
        <v>11</v>
      </c>
      <c r="H258" s="12">
        <v>61.199805260359078</v>
      </c>
      <c r="I258" s="12">
        <v>49.396628099825982</v>
      </c>
      <c r="J258" s="12"/>
      <c r="K258" s="12"/>
      <c r="L258" s="12">
        <v>30.46524078369626</v>
      </c>
      <c r="M258" s="12">
        <v>128.78056428762551</v>
      </c>
      <c r="N258" s="12">
        <v>28.611964328114809</v>
      </c>
      <c r="O258" s="12">
        <v>0.46751724464469208</v>
      </c>
      <c r="P258" s="10" t="s">
        <v>168</v>
      </c>
      <c r="Q258" s="12">
        <v>44.06385978745854</v>
      </c>
      <c r="R258" s="12">
        <v>63.199805260359078</v>
      </c>
    </row>
    <row r="259" spans="1:18" ht="32.1" customHeight="1" x14ac:dyDescent="0.25">
      <c r="A259" s="10" t="s">
        <v>56</v>
      </c>
      <c r="B259" s="10" t="s">
        <v>94</v>
      </c>
      <c r="C259" s="10" t="s">
        <v>3</v>
      </c>
      <c r="D259" s="10" t="s">
        <v>64</v>
      </c>
      <c r="E259" s="10" t="s">
        <v>108</v>
      </c>
      <c r="F259" s="10" t="s">
        <v>167</v>
      </c>
      <c r="G259" s="11">
        <v>192</v>
      </c>
      <c r="H259" s="12">
        <v>60.55774409777981</v>
      </c>
      <c r="I259" s="12">
        <v>54.787895021555848</v>
      </c>
      <c r="J259" s="12">
        <v>108.8240014751233</v>
      </c>
      <c r="K259" s="12"/>
      <c r="L259" s="12">
        <v>19.55753662895992</v>
      </c>
      <c r="M259" s="12">
        <v>173.6364366698736</v>
      </c>
      <c r="N259" s="12">
        <v>24.45773052681356</v>
      </c>
      <c r="O259" s="12">
        <v>0.40387453151033459</v>
      </c>
      <c r="P259" s="10" t="s">
        <v>168</v>
      </c>
      <c r="Q259" s="12">
        <v>43.866852994568973</v>
      </c>
      <c r="R259" s="12">
        <v>62.55774409777981</v>
      </c>
    </row>
    <row r="260" spans="1:18" ht="32.1" customHeight="1" x14ac:dyDescent="0.25">
      <c r="A260" s="10" t="s">
        <v>56</v>
      </c>
      <c r="B260" s="10" t="s">
        <v>94</v>
      </c>
      <c r="C260" s="10" t="s">
        <v>3</v>
      </c>
      <c r="D260" s="10" t="s">
        <v>64</v>
      </c>
      <c r="E260" s="10" t="s">
        <v>108</v>
      </c>
      <c r="F260" s="10" t="s">
        <v>169</v>
      </c>
      <c r="G260" s="11">
        <v>9</v>
      </c>
      <c r="H260" s="12">
        <v>56.805430004459822</v>
      </c>
      <c r="I260" s="12">
        <v>54.593765826808948</v>
      </c>
      <c r="J260" s="12"/>
      <c r="K260" s="12"/>
      <c r="L260" s="12">
        <v>42.188913286919188</v>
      </c>
      <c r="M260" s="12">
        <v>82.364020766166973</v>
      </c>
      <c r="N260" s="12">
        <v>11.73123443730031</v>
      </c>
      <c r="O260" s="12">
        <v>0.20651607489599641</v>
      </c>
      <c r="P260" s="10" t="s">
        <v>168</v>
      </c>
      <c r="Q260" s="12">
        <v>40.899909603211057</v>
      </c>
      <c r="R260" s="12">
        <v>58.805430004459822</v>
      </c>
    </row>
    <row r="261" spans="1:18" ht="32.1" customHeight="1" x14ac:dyDescent="0.25">
      <c r="A261" s="10" t="s">
        <v>56</v>
      </c>
      <c r="B261" s="10" t="s">
        <v>94</v>
      </c>
      <c r="C261" s="10" t="s">
        <v>3</v>
      </c>
      <c r="D261" s="10" t="s">
        <v>64</v>
      </c>
      <c r="E261" s="10" t="s">
        <v>109</v>
      </c>
      <c r="F261" s="10" t="s">
        <v>167</v>
      </c>
      <c r="G261" s="11">
        <v>173</v>
      </c>
      <c r="H261" s="12">
        <v>78.941519122074595</v>
      </c>
      <c r="I261" s="12">
        <v>65.092111492530563</v>
      </c>
      <c r="J261" s="12">
        <v>108.1950286388708</v>
      </c>
      <c r="K261" s="12"/>
      <c r="L261" s="12">
        <v>23.36646532012886</v>
      </c>
      <c r="M261" s="12">
        <v>907.13347679975357</v>
      </c>
      <c r="N261" s="12">
        <v>94.800713572158202</v>
      </c>
      <c r="O261" s="12">
        <v>1.2008980144600341</v>
      </c>
      <c r="P261" s="10" t="s">
        <v>168</v>
      </c>
      <c r="Q261" s="12">
        <v>56.980346168351147</v>
      </c>
      <c r="R261" s="12">
        <v>80.941519122074595</v>
      </c>
    </row>
    <row r="262" spans="1:18" ht="32.1" customHeight="1" x14ac:dyDescent="0.25">
      <c r="A262" s="10" t="s">
        <v>56</v>
      </c>
      <c r="B262" s="10" t="s">
        <v>94</v>
      </c>
      <c r="C262" s="10" t="s">
        <v>3</v>
      </c>
      <c r="D262" s="10" t="s">
        <v>64</v>
      </c>
      <c r="E262" s="10" t="s">
        <v>109</v>
      </c>
      <c r="F262" s="10" t="s">
        <v>169</v>
      </c>
      <c r="G262" s="11">
        <v>9</v>
      </c>
      <c r="H262" s="12">
        <v>160.1752430414883</v>
      </c>
      <c r="I262" s="12">
        <v>47.19589128911862</v>
      </c>
      <c r="J262" s="12"/>
      <c r="K262" s="12"/>
      <c r="L262" s="12">
        <v>33.133569368276667</v>
      </c>
      <c r="M262" s="12">
        <v>1053.3311847167799</v>
      </c>
      <c r="N262" s="12">
        <v>335.08141367390039</v>
      </c>
      <c r="O262" s="12">
        <v>2.0919675682159462</v>
      </c>
      <c r="P262" s="10" t="s">
        <v>168</v>
      </c>
      <c r="Q262" s="12">
        <v>115.3261749898716</v>
      </c>
      <c r="R262" s="12">
        <v>162.1752430414883</v>
      </c>
    </row>
    <row r="263" spans="1:18" ht="32.1" customHeight="1" x14ac:dyDescent="0.25">
      <c r="A263" s="10" t="s">
        <v>56</v>
      </c>
      <c r="B263" s="10" t="s">
        <v>94</v>
      </c>
      <c r="C263" s="10" t="s">
        <v>3</v>
      </c>
      <c r="D263" s="10" t="s">
        <v>64</v>
      </c>
      <c r="E263" s="10" t="s">
        <v>110</v>
      </c>
      <c r="F263" s="10" t="s">
        <v>167</v>
      </c>
      <c r="G263" s="11">
        <v>19</v>
      </c>
      <c r="H263" s="12">
        <v>115.6366119036753</v>
      </c>
      <c r="I263" s="12">
        <v>53.700628305651769</v>
      </c>
      <c r="J263" s="12"/>
      <c r="K263" s="12"/>
      <c r="L263" s="12">
        <v>26.63596306459603</v>
      </c>
      <c r="M263" s="12">
        <v>1175.9993000703359</v>
      </c>
      <c r="N263" s="12">
        <v>257.45344641042749</v>
      </c>
      <c r="O263" s="12">
        <v>2.2264008100210071</v>
      </c>
      <c r="P263" s="10" t="s">
        <v>168</v>
      </c>
      <c r="Q263" s="12">
        <v>86.137159936182826</v>
      </c>
      <c r="R263" s="12">
        <v>117.6366119036753</v>
      </c>
    </row>
    <row r="264" spans="1:18" ht="32.1" customHeight="1" x14ac:dyDescent="0.25">
      <c r="A264" s="10" t="s">
        <v>56</v>
      </c>
      <c r="B264" s="10" t="s">
        <v>94</v>
      </c>
      <c r="C264" s="10" t="s">
        <v>3</v>
      </c>
      <c r="D264" s="10" t="s">
        <v>64</v>
      </c>
      <c r="E264" s="10" t="s">
        <v>111</v>
      </c>
      <c r="F264" s="10" t="s">
        <v>167</v>
      </c>
      <c r="G264" s="11">
        <v>14</v>
      </c>
      <c r="H264" s="12">
        <v>57.706909514826478</v>
      </c>
      <c r="I264" s="12">
        <v>57.029208274300032</v>
      </c>
      <c r="J264" s="12"/>
      <c r="K264" s="12"/>
      <c r="L264" s="12">
        <v>34.173436729460278</v>
      </c>
      <c r="M264" s="12">
        <v>96.352931181576395</v>
      </c>
      <c r="N264" s="12">
        <v>18.834544610083629</v>
      </c>
      <c r="O264" s="12">
        <v>0.32638283298197629</v>
      </c>
      <c r="P264" s="10" t="s">
        <v>168</v>
      </c>
      <c r="Q264" s="12">
        <v>39.408579804516613</v>
      </c>
      <c r="R264" s="12">
        <v>59.706909514826478</v>
      </c>
    </row>
    <row r="265" spans="1:18" ht="32.1" customHeight="1" x14ac:dyDescent="0.25">
      <c r="A265" s="10" t="s">
        <v>56</v>
      </c>
      <c r="B265" s="10" t="s">
        <v>94</v>
      </c>
      <c r="C265" s="10" t="s">
        <v>3</v>
      </c>
      <c r="D265" s="10" t="s">
        <v>64</v>
      </c>
      <c r="E265" s="10" t="s">
        <v>111</v>
      </c>
      <c r="F265" s="10" t="s">
        <v>169</v>
      </c>
      <c r="G265" s="11">
        <v>2</v>
      </c>
      <c r="H265" s="12">
        <v>40.056569216765787</v>
      </c>
      <c r="I265" s="12">
        <v>40.056569216765787</v>
      </c>
      <c r="J265" s="12"/>
      <c r="K265" s="12"/>
      <c r="L265" s="12">
        <v>30.19668400191976</v>
      </c>
      <c r="M265" s="12">
        <v>49.916454431611832</v>
      </c>
      <c r="N265" s="12">
        <v>13.943983394277231</v>
      </c>
      <c r="O265" s="12">
        <v>0.34810728095108379</v>
      </c>
      <c r="P265" s="10" t="s">
        <v>168</v>
      </c>
      <c r="Q265" s="12">
        <v>28.840729836071372</v>
      </c>
      <c r="R265" s="12">
        <v>42.056569216765787</v>
      </c>
    </row>
    <row r="266" spans="1:18" ht="32.1" customHeight="1" x14ac:dyDescent="0.25">
      <c r="A266" s="10" t="s">
        <v>56</v>
      </c>
      <c r="B266" s="10" t="s">
        <v>94</v>
      </c>
      <c r="C266" s="10" t="s">
        <v>3</v>
      </c>
      <c r="D266" s="10" t="s">
        <v>64</v>
      </c>
      <c r="E266" s="10" t="s">
        <v>112</v>
      </c>
      <c r="F266" s="10" t="s">
        <v>167</v>
      </c>
      <c r="G266" s="11">
        <v>20</v>
      </c>
      <c r="H266" s="12">
        <v>61.524203090227232</v>
      </c>
      <c r="I266" s="12">
        <v>58.961805567898061</v>
      </c>
      <c r="J266" s="12">
        <v>86.196301566301685</v>
      </c>
      <c r="K266" s="12"/>
      <c r="L266" s="12">
        <v>25.988756647285999</v>
      </c>
      <c r="M266" s="12">
        <v>109.991813505992</v>
      </c>
      <c r="N266" s="12">
        <v>18.51549788059755</v>
      </c>
      <c r="O266" s="12">
        <v>0.30094656981487378</v>
      </c>
      <c r="P266" s="10" t="s">
        <v>168</v>
      </c>
      <c r="Q266" s="12">
        <v>44.566226826436512</v>
      </c>
      <c r="R266" s="12">
        <v>63.524203090227232</v>
      </c>
    </row>
    <row r="267" spans="1:18" ht="32.1" customHeight="1" x14ac:dyDescent="0.25">
      <c r="A267" s="10" t="s">
        <v>56</v>
      </c>
      <c r="B267" s="10" t="s">
        <v>94</v>
      </c>
      <c r="C267" s="10" t="s">
        <v>3</v>
      </c>
      <c r="D267" s="10" t="s">
        <v>64</v>
      </c>
      <c r="E267" s="10" t="s">
        <v>112</v>
      </c>
      <c r="F267" s="10" t="s">
        <v>169</v>
      </c>
      <c r="G267" s="11">
        <v>1</v>
      </c>
      <c r="H267" s="12">
        <v>88.064263095706579</v>
      </c>
      <c r="I267" s="12">
        <v>88.064263095706579</v>
      </c>
      <c r="J267" s="12"/>
      <c r="K267" s="12"/>
      <c r="L267" s="12">
        <v>88.064263095706579</v>
      </c>
      <c r="M267" s="12">
        <v>88.064263095706579</v>
      </c>
      <c r="N267" s="12"/>
      <c r="O267" s="12"/>
      <c r="P267" s="10" t="s">
        <v>168</v>
      </c>
      <c r="Q267" s="12">
        <v>63.406269428908743</v>
      </c>
      <c r="R267" s="12">
        <v>90.064263095706579</v>
      </c>
    </row>
    <row r="268" spans="1:18" ht="32.1" customHeight="1" x14ac:dyDescent="0.25">
      <c r="A268" s="10" t="s">
        <v>56</v>
      </c>
      <c r="B268" s="10" t="s">
        <v>94</v>
      </c>
      <c r="C268" s="10" t="s">
        <v>3</v>
      </c>
      <c r="D268" s="10" t="s">
        <v>64</v>
      </c>
      <c r="E268" s="10" t="s">
        <v>113</v>
      </c>
      <c r="F268" s="10" t="s">
        <v>167</v>
      </c>
      <c r="G268" s="11">
        <v>14</v>
      </c>
      <c r="H268" s="12">
        <v>63.287515263967521</v>
      </c>
      <c r="I268" s="12">
        <v>49.616862315485008</v>
      </c>
      <c r="J268" s="12"/>
      <c r="K268" s="12"/>
      <c r="L268" s="12">
        <v>30.526123605965392</v>
      </c>
      <c r="M268" s="12">
        <v>156.68232052234961</v>
      </c>
      <c r="N268" s="12">
        <v>34.248895233522248</v>
      </c>
      <c r="O268" s="12">
        <v>0.54116353107990822</v>
      </c>
      <c r="P268" s="10" t="s">
        <v>168</v>
      </c>
      <c r="Q268" s="12">
        <v>45.567010990056623</v>
      </c>
      <c r="R268" s="12">
        <v>65.287515263967521</v>
      </c>
    </row>
    <row r="269" spans="1:18" ht="32.1" customHeight="1" x14ac:dyDescent="0.25">
      <c r="A269" s="10" t="s">
        <v>56</v>
      </c>
      <c r="B269" s="10" t="s">
        <v>94</v>
      </c>
      <c r="C269" s="10" t="s">
        <v>3</v>
      </c>
      <c r="D269" s="10" t="s">
        <v>64</v>
      </c>
      <c r="E269" s="10" t="s">
        <v>114</v>
      </c>
      <c r="F269" s="10" t="s">
        <v>167</v>
      </c>
      <c r="G269" s="11">
        <v>19</v>
      </c>
      <c r="H269" s="12">
        <v>52.341918169784151</v>
      </c>
      <c r="I269" s="12">
        <v>45.617108228348343</v>
      </c>
      <c r="J269" s="12"/>
      <c r="K269" s="12"/>
      <c r="L269" s="12">
        <v>21.734322465740199</v>
      </c>
      <c r="M269" s="12">
        <v>93.852533628683105</v>
      </c>
      <c r="N269" s="12">
        <v>17.964045659952351</v>
      </c>
      <c r="O269" s="12">
        <v>0.34320571901246438</v>
      </c>
      <c r="P269" s="10" t="s">
        <v>168</v>
      </c>
      <c r="Q269" s="12">
        <v>38.50159721129792</v>
      </c>
      <c r="R269" s="12">
        <v>54.341918169784137</v>
      </c>
    </row>
    <row r="270" spans="1:18" ht="32.1" customHeight="1" x14ac:dyDescent="0.25">
      <c r="A270" s="10" t="s">
        <v>56</v>
      </c>
      <c r="B270" s="10" t="s">
        <v>94</v>
      </c>
      <c r="C270" s="10" t="s">
        <v>3</v>
      </c>
      <c r="D270" s="10" t="s">
        <v>64</v>
      </c>
      <c r="E270" s="10" t="s">
        <v>114</v>
      </c>
      <c r="F270" s="10" t="s">
        <v>169</v>
      </c>
      <c r="G270" s="11">
        <v>2</v>
      </c>
      <c r="H270" s="12">
        <v>64.441848161010142</v>
      </c>
      <c r="I270" s="12">
        <v>64.441848161010142</v>
      </c>
      <c r="J270" s="12"/>
      <c r="K270" s="12"/>
      <c r="L270" s="12">
        <v>46.968468934331447</v>
      </c>
      <c r="M270" s="12">
        <v>81.915227387688844</v>
      </c>
      <c r="N270" s="12">
        <v>24.711089882857319</v>
      </c>
      <c r="O270" s="12">
        <v>0.38346339510803318</v>
      </c>
      <c r="P270" s="10" t="s">
        <v>168</v>
      </c>
      <c r="Q270" s="12">
        <v>33.817297632718649</v>
      </c>
      <c r="R270" s="12">
        <v>66.441848161010142</v>
      </c>
    </row>
    <row r="271" spans="1:18" ht="32.1" customHeight="1" x14ac:dyDescent="0.25">
      <c r="A271" s="10" t="s">
        <v>56</v>
      </c>
      <c r="B271" s="10" t="s">
        <v>94</v>
      </c>
      <c r="C271" s="10" t="s">
        <v>3</v>
      </c>
      <c r="D271" s="10" t="s">
        <v>64</v>
      </c>
      <c r="E271" s="10" t="s">
        <v>115</v>
      </c>
      <c r="F271" s="10" t="s">
        <v>167</v>
      </c>
      <c r="G271" s="11">
        <v>68</v>
      </c>
      <c r="H271" s="12">
        <v>49.9695872537634</v>
      </c>
      <c r="I271" s="12">
        <v>46.343253548423903</v>
      </c>
      <c r="J271" s="12">
        <v>91.398460757231916</v>
      </c>
      <c r="K271" s="12"/>
      <c r="L271" s="12">
        <v>17.039889980577751</v>
      </c>
      <c r="M271" s="12">
        <v>118.62997098922099</v>
      </c>
      <c r="N271" s="12">
        <v>20.23491719899182</v>
      </c>
      <c r="O271" s="12">
        <v>0.40494465355960779</v>
      </c>
      <c r="P271" s="10" t="s">
        <v>168</v>
      </c>
      <c r="Q271" s="12">
        <v>36.273675290296609</v>
      </c>
      <c r="R271" s="12">
        <v>51.9695872537634</v>
      </c>
    </row>
    <row r="272" spans="1:18" ht="32.1" customHeight="1" x14ac:dyDescent="0.25">
      <c r="A272" s="10" t="s">
        <v>56</v>
      </c>
      <c r="B272" s="10" t="s">
        <v>94</v>
      </c>
      <c r="C272" s="10" t="s">
        <v>3</v>
      </c>
      <c r="D272" s="10" t="s">
        <v>64</v>
      </c>
      <c r="E272" s="10" t="s">
        <v>115</v>
      </c>
      <c r="F272" s="10" t="s">
        <v>169</v>
      </c>
      <c r="G272" s="11">
        <v>4</v>
      </c>
      <c r="H272" s="12">
        <v>50.746681665065331</v>
      </c>
      <c r="I272" s="12">
        <v>40.915237362132871</v>
      </c>
      <c r="J272" s="12"/>
      <c r="K272" s="12"/>
      <c r="L272" s="12">
        <v>30.178994974174891</v>
      </c>
      <c r="M272" s="12">
        <v>90.9772569618207</v>
      </c>
      <c r="N272" s="12">
        <v>27.660219347791401</v>
      </c>
      <c r="O272" s="12">
        <v>0.54506459221023407</v>
      </c>
      <c r="P272" s="10" t="s">
        <v>168</v>
      </c>
      <c r="Q272" s="12">
        <v>36.537610798847041</v>
      </c>
      <c r="R272" s="12">
        <v>52.746681665065331</v>
      </c>
    </row>
    <row r="273" spans="1:18" ht="32.1" customHeight="1" x14ac:dyDescent="0.25">
      <c r="A273" s="10" t="s">
        <v>56</v>
      </c>
      <c r="B273" s="10" t="s">
        <v>94</v>
      </c>
      <c r="C273" s="10" t="s">
        <v>3</v>
      </c>
      <c r="D273" s="10" t="s">
        <v>64</v>
      </c>
      <c r="E273" s="10" t="s">
        <v>116</v>
      </c>
      <c r="F273" s="10" t="s">
        <v>167</v>
      </c>
      <c r="G273" s="11">
        <v>66</v>
      </c>
      <c r="H273" s="12">
        <v>54.623143210438293</v>
      </c>
      <c r="I273" s="12">
        <v>50.324405880838803</v>
      </c>
      <c r="J273" s="12">
        <v>97.410487924308683</v>
      </c>
      <c r="K273" s="12"/>
      <c r="L273" s="12">
        <v>18.015815508432361</v>
      </c>
      <c r="M273" s="12">
        <v>126.5727596414153</v>
      </c>
      <c r="N273" s="12">
        <v>22.496502694854328</v>
      </c>
      <c r="O273" s="12">
        <v>0.41184928901263462</v>
      </c>
      <c r="P273" s="10" t="s">
        <v>168</v>
      </c>
      <c r="Q273" s="12">
        <v>39.127193898393983</v>
      </c>
      <c r="R273" s="12">
        <v>56.623143210438293</v>
      </c>
    </row>
    <row r="274" spans="1:18" ht="32.1" customHeight="1" x14ac:dyDescent="0.25">
      <c r="A274" s="10" t="s">
        <v>56</v>
      </c>
      <c r="B274" s="10" t="s">
        <v>94</v>
      </c>
      <c r="C274" s="10" t="s">
        <v>3</v>
      </c>
      <c r="D274" s="10" t="s">
        <v>64</v>
      </c>
      <c r="E274" s="10" t="s">
        <v>116</v>
      </c>
      <c r="F274" s="10" t="s">
        <v>169</v>
      </c>
      <c r="G274" s="11">
        <v>5</v>
      </c>
      <c r="H274" s="12">
        <v>47.688550766686717</v>
      </c>
      <c r="I274" s="12">
        <v>31.736099831702841</v>
      </c>
      <c r="J274" s="12"/>
      <c r="K274" s="12"/>
      <c r="L274" s="12">
        <v>23.944585477961059</v>
      </c>
      <c r="M274" s="12">
        <v>105.4354724043254</v>
      </c>
      <c r="N274" s="12">
        <v>33.824628499970991</v>
      </c>
      <c r="O274" s="12">
        <v>0.70928195460281218</v>
      </c>
      <c r="P274" s="10" t="s">
        <v>168</v>
      </c>
      <c r="Q274" s="12">
        <v>34.335756552014431</v>
      </c>
      <c r="R274" s="12">
        <v>49.688550766686717</v>
      </c>
    </row>
    <row r="275" spans="1:18" ht="32.1" customHeight="1" x14ac:dyDescent="0.25">
      <c r="A275" s="10" t="s">
        <v>56</v>
      </c>
      <c r="B275" s="10" t="s">
        <v>94</v>
      </c>
      <c r="C275" s="10" t="s">
        <v>3</v>
      </c>
      <c r="D275" s="10" t="s">
        <v>64</v>
      </c>
      <c r="E275" s="10" t="s">
        <v>117</v>
      </c>
      <c r="F275" s="10" t="s">
        <v>167</v>
      </c>
      <c r="G275" s="11">
        <v>70</v>
      </c>
      <c r="H275" s="12">
        <v>56.221131130853593</v>
      </c>
      <c r="I275" s="12">
        <v>53.840192536786716</v>
      </c>
      <c r="J275" s="12">
        <v>89.346385291684712</v>
      </c>
      <c r="K275" s="12"/>
      <c r="L275" s="12">
        <v>22.861039048082969</v>
      </c>
      <c r="M275" s="12">
        <v>142.0244700797692</v>
      </c>
      <c r="N275" s="12">
        <v>22.90626029885404</v>
      </c>
      <c r="O275" s="12">
        <v>0.40743150908045878</v>
      </c>
      <c r="P275" s="10" t="s">
        <v>168</v>
      </c>
      <c r="Q275" s="12">
        <v>40.775345867973947</v>
      </c>
      <c r="R275" s="12">
        <v>58.221131130853593</v>
      </c>
    </row>
    <row r="276" spans="1:18" ht="32.1" customHeight="1" x14ac:dyDescent="0.25">
      <c r="A276" s="10" t="s">
        <v>56</v>
      </c>
      <c r="B276" s="10" t="s">
        <v>94</v>
      </c>
      <c r="C276" s="10" t="s">
        <v>3</v>
      </c>
      <c r="D276" s="10" t="s">
        <v>64</v>
      </c>
      <c r="E276" s="10" t="s">
        <v>117</v>
      </c>
      <c r="F276" s="10" t="s">
        <v>169</v>
      </c>
      <c r="G276" s="11">
        <v>3</v>
      </c>
      <c r="H276" s="12">
        <v>68.850044457842898</v>
      </c>
      <c r="I276" s="12">
        <v>56.589052638912932</v>
      </c>
      <c r="J276" s="12"/>
      <c r="K276" s="12"/>
      <c r="L276" s="12">
        <v>40.053764534021049</v>
      </c>
      <c r="M276" s="12">
        <v>109.90731620059471</v>
      </c>
      <c r="N276" s="12">
        <v>36.505186075358793</v>
      </c>
      <c r="O276" s="12">
        <v>0.53021296300993725</v>
      </c>
      <c r="P276" s="10" t="s">
        <v>168</v>
      </c>
      <c r="Q276" s="12">
        <v>49.572032009646882</v>
      </c>
      <c r="R276" s="12">
        <v>70.850044457842898</v>
      </c>
    </row>
    <row r="277" spans="1:18" ht="32.1" customHeight="1" x14ac:dyDescent="0.25">
      <c r="A277" s="10" t="s">
        <v>56</v>
      </c>
      <c r="B277" s="10" t="s">
        <v>94</v>
      </c>
      <c r="C277" s="10" t="s">
        <v>3</v>
      </c>
      <c r="D277" s="10" t="s">
        <v>64</v>
      </c>
      <c r="E277" s="10" t="s">
        <v>118</v>
      </c>
      <c r="F277" s="10" t="s">
        <v>167</v>
      </c>
      <c r="G277" s="11">
        <v>73</v>
      </c>
      <c r="H277" s="12">
        <v>72.428546970173272</v>
      </c>
      <c r="I277" s="12">
        <v>44.26935541268837</v>
      </c>
      <c r="J277" s="12">
        <v>89.125361222385095</v>
      </c>
      <c r="K277" s="12"/>
      <c r="L277" s="12">
        <v>25.580913957624549</v>
      </c>
      <c r="M277" s="12">
        <v>1733.356101975354</v>
      </c>
      <c r="N277" s="12">
        <v>198.2310060013665</v>
      </c>
      <c r="O277" s="12">
        <v>2.7369181668520808</v>
      </c>
      <c r="P277" s="10" t="s">
        <v>168</v>
      </c>
      <c r="Q277" s="12">
        <v>53.414438120689837</v>
      </c>
      <c r="R277" s="12">
        <v>74.428546970173272</v>
      </c>
    </row>
    <row r="278" spans="1:18" ht="32.1" customHeight="1" x14ac:dyDescent="0.25">
      <c r="A278" s="10" t="s">
        <v>56</v>
      </c>
      <c r="B278" s="10" t="s">
        <v>94</v>
      </c>
      <c r="C278" s="10" t="s">
        <v>3</v>
      </c>
      <c r="D278" s="10" t="s">
        <v>64</v>
      </c>
      <c r="E278" s="10" t="s">
        <v>118</v>
      </c>
      <c r="F278" s="10" t="s">
        <v>169</v>
      </c>
      <c r="G278" s="11">
        <v>6</v>
      </c>
      <c r="H278" s="12">
        <v>52.753228111463592</v>
      </c>
      <c r="I278" s="12">
        <v>55.945894058157272</v>
      </c>
      <c r="J278" s="12"/>
      <c r="K278" s="12"/>
      <c r="L278" s="12">
        <v>32.259115966985881</v>
      </c>
      <c r="M278" s="12">
        <v>72.004931839909887</v>
      </c>
      <c r="N278" s="12">
        <v>17.192432421766071</v>
      </c>
      <c r="O278" s="12">
        <v>0.32590294541671938</v>
      </c>
      <c r="P278" s="10" t="s">
        <v>168</v>
      </c>
      <c r="Q278" s="12">
        <v>37.982324240253803</v>
      </c>
      <c r="R278" s="12">
        <v>54.753228111463592</v>
      </c>
    </row>
    <row r="279" spans="1:18" ht="32.1" customHeight="1" x14ac:dyDescent="0.25">
      <c r="A279" s="10" t="s">
        <v>56</v>
      </c>
      <c r="B279" s="10" t="s">
        <v>94</v>
      </c>
      <c r="C279" s="10" t="s">
        <v>3</v>
      </c>
      <c r="D279" s="10" t="s">
        <v>64</v>
      </c>
      <c r="E279" s="10" t="s">
        <v>119</v>
      </c>
      <c r="F279" s="10" t="s">
        <v>167</v>
      </c>
      <c r="G279" s="11">
        <v>73</v>
      </c>
      <c r="H279" s="12">
        <v>50.791235571211992</v>
      </c>
      <c r="I279" s="12">
        <v>45.973404669855462</v>
      </c>
      <c r="J279" s="12">
        <v>84.224162038318383</v>
      </c>
      <c r="K279" s="12"/>
      <c r="L279" s="12">
        <v>24.57950341107902</v>
      </c>
      <c r="M279" s="12">
        <v>152.40270532470271</v>
      </c>
      <c r="N279" s="12">
        <v>19.718106001129549</v>
      </c>
      <c r="O279" s="12">
        <v>0.38821867157540851</v>
      </c>
      <c r="P279" s="10" t="s">
        <v>168</v>
      </c>
      <c r="Q279" s="12">
        <v>36.678238639682299</v>
      </c>
      <c r="R279" s="12">
        <v>52.791235571211992</v>
      </c>
    </row>
    <row r="280" spans="1:18" ht="32.1" customHeight="1" x14ac:dyDescent="0.25">
      <c r="A280" s="10" t="s">
        <v>56</v>
      </c>
      <c r="B280" s="10" t="s">
        <v>94</v>
      </c>
      <c r="C280" s="10" t="s">
        <v>3</v>
      </c>
      <c r="D280" s="10" t="s">
        <v>64</v>
      </c>
      <c r="E280" s="10" t="s">
        <v>119</v>
      </c>
      <c r="F280" s="10" t="s">
        <v>169</v>
      </c>
      <c r="G280" s="11">
        <v>2</v>
      </c>
      <c r="H280" s="12">
        <v>85.541238017507354</v>
      </c>
      <c r="I280" s="12">
        <v>85.541238017507354</v>
      </c>
      <c r="J280" s="12"/>
      <c r="K280" s="12"/>
      <c r="L280" s="12">
        <v>80.732348569462943</v>
      </c>
      <c r="M280" s="12">
        <v>90.350127465551765</v>
      </c>
      <c r="N280" s="12">
        <v>6.8007966773772726</v>
      </c>
      <c r="O280" s="12">
        <v>7.9503135972679995E-2</v>
      </c>
      <c r="P280" s="10" t="s">
        <v>168</v>
      </c>
      <c r="Q280" s="12">
        <v>58.12729097001332</v>
      </c>
      <c r="R280" s="12">
        <v>87.541238017507354</v>
      </c>
    </row>
    <row r="281" spans="1:18" ht="32.1" customHeight="1" x14ac:dyDescent="0.25">
      <c r="A281" s="10" t="s">
        <v>56</v>
      </c>
      <c r="B281" s="10" t="s">
        <v>121</v>
      </c>
      <c r="C281" s="10" t="s">
        <v>59</v>
      </c>
      <c r="D281" s="10" t="s">
        <v>62</v>
      </c>
      <c r="E281" s="10" t="s">
        <v>120</v>
      </c>
      <c r="F281" s="10" t="s">
        <v>167</v>
      </c>
      <c r="G281" s="11">
        <v>81</v>
      </c>
      <c r="H281" s="12">
        <v>137.459680262137</v>
      </c>
      <c r="I281" s="12">
        <v>126.43221744144491</v>
      </c>
      <c r="J281" s="12">
        <v>242.51134735445169</v>
      </c>
      <c r="K281" s="12"/>
      <c r="L281" s="12">
        <v>52.207672364140002</v>
      </c>
      <c r="M281" s="12">
        <v>335.54279943885081</v>
      </c>
      <c r="N281" s="12">
        <v>59.525841334582182</v>
      </c>
      <c r="O281" s="12">
        <v>0.43304219259833709</v>
      </c>
      <c r="P281" s="10" t="s">
        <v>168</v>
      </c>
      <c r="Q281" s="12">
        <v>97.566556839653245</v>
      </c>
      <c r="R281" s="12">
        <v>139.459680262137</v>
      </c>
    </row>
    <row r="282" spans="1:18" ht="32.1" customHeight="1" x14ac:dyDescent="0.25">
      <c r="A282" s="10" t="s">
        <v>56</v>
      </c>
      <c r="B282" s="10" t="s">
        <v>121</v>
      </c>
      <c r="C282" s="10" t="s">
        <v>59</v>
      </c>
      <c r="D282" s="10" t="s">
        <v>62</v>
      </c>
      <c r="E282" s="10" t="s">
        <v>120</v>
      </c>
      <c r="F282" s="10" t="s">
        <v>169</v>
      </c>
      <c r="G282" s="11">
        <v>4</v>
      </c>
      <c r="H282" s="12">
        <v>145.37012077777021</v>
      </c>
      <c r="I282" s="12">
        <v>135.13260273644741</v>
      </c>
      <c r="J282" s="12"/>
      <c r="K282" s="12"/>
      <c r="L282" s="12">
        <v>60.163215136829223</v>
      </c>
      <c r="M282" s="12">
        <v>251.05206250135689</v>
      </c>
      <c r="N282" s="12">
        <v>78.999795026580529</v>
      </c>
      <c r="O282" s="12">
        <v>0.54343901349128576</v>
      </c>
      <c r="P282" s="10" t="s">
        <v>168</v>
      </c>
      <c r="Q282" s="12">
        <v>104.6664869599946</v>
      </c>
      <c r="R282" s="12">
        <v>147.37012077777021</v>
      </c>
    </row>
    <row r="283" spans="1:18" ht="32.1" customHeight="1" x14ac:dyDescent="0.25">
      <c r="A283" s="10" t="s">
        <v>56</v>
      </c>
      <c r="B283" s="10" t="s">
        <v>121</v>
      </c>
      <c r="C283" s="10" t="s">
        <v>59</v>
      </c>
      <c r="D283" s="10" t="s">
        <v>62</v>
      </c>
      <c r="E283" s="10" t="s">
        <v>122</v>
      </c>
      <c r="F283" s="10" t="s">
        <v>167</v>
      </c>
      <c r="G283" s="11">
        <v>69</v>
      </c>
      <c r="H283" s="12">
        <v>135.4046908260693</v>
      </c>
      <c r="I283" s="12">
        <v>122.261864742149</v>
      </c>
      <c r="J283" s="12">
        <v>248.3355531256681</v>
      </c>
      <c r="K283" s="12"/>
      <c r="L283" s="12">
        <v>57.037938827220778</v>
      </c>
      <c r="M283" s="12">
        <v>359.96071533044659</v>
      </c>
      <c r="N283" s="12">
        <v>59.260152378002957</v>
      </c>
      <c r="O283" s="12">
        <v>0.43765213757715449</v>
      </c>
      <c r="P283" s="10" t="s">
        <v>168</v>
      </c>
      <c r="Q283" s="12">
        <v>97.769203055078833</v>
      </c>
      <c r="R283" s="12">
        <v>137.4046908260693</v>
      </c>
    </row>
    <row r="284" spans="1:18" ht="32.1" customHeight="1" x14ac:dyDescent="0.25">
      <c r="A284" s="10" t="s">
        <v>56</v>
      </c>
      <c r="B284" s="10" t="s">
        <v>121</v>
      </c>
      <c r="C284" s="10" t="s">
        <v>59</v>
      </c>
      <c r="D284" s="10" t="s">
        <v>62</v>
      </c>
      <c r="E284" s="10" t="s">
        <v>122</v>
      </c>
      <c r="F284" s="10" t="s">
        <v>169</v>
      </c>
      <c r="G284" s="11">
        <v>3</v>
      </c>
      <c r="H284" s="12">
        <v>148.86585451328421</v>
      </c>
      <c r="I284" s="12">
        <v>149.07060549061489</v>
      </c>
      <c r="J284" s="12"/>
      <c r="K284" s="12"/>
      <c r="L284" s="12">
        <v>93.433857462323601</v>
      </c>
      <c r="M284" s="12">
        <v>204.09310058691409</v>
      </c>
      <c r="N284" s="12">
        <v>55.329905697089814</v>
      </c>
      <c r="O284" s="12">
        <v>0.37167627108305329</v>
      </c>
      <c r="P284" s="10" t="s">
        <v>168</v>
      </c>
      <c r="Q284" s="12">
        <v>107.1834152495646</v>
      </c>
      <c r="R284" s="12">
        <v>150.86585451328421</v>
      </c>
    </row>
    <row r="285" spans="1:18" ht="32.1" customHeight="1" x14ac:dyDescent="0.25">
      <c r="A285" s="10" t="s">
        <v>56</v>
      </c>
      <c r="B285" s="10" t="s">
        <v>121</v>
      </c>
      <c r="C285" s="10" t="s">
        <v>59</v>
      </c>
      <c r="D285" s="10" t="s">
        <v>62</v>
      </c>
      <c r="E285" s="10" t="s">
        <v>123</v>
      </c>
      <c r="F285" s="10" t="s">
        <v>167</v>
      </c>
      <c r="G285" s="11">
        <v>85</v>
      </c>
      <c r="H285" s="12">
        <v>150.0814506876259</v>
      </c>
      <c r="I285" s="12">
        <v>140.0828130609074</v>
      </c>
      <c r="J285" s="12">
        <v>226.67739987764881</v>
      </c>
      <c r="K285" s="12"/>
      <c r="L285" s="12">
        <v>58.781004458183553</v>
      </c>
      <c r="M285" s="12">
        <v>354.5561365685349</v>
      </c>
      <c r="N285" s="12">
        <v>52.835370200874912</v>
      </c>
      <c r="O285" s="12">
        <v>0.3520446394860916</v>
      </c>
      <c r="P285" s="10" t="s">
        <v>168</v>
      </c>
      <c r="Q285" s="12">
        <v>107.81770440826681</v>
      </c>
      <c r="R285" s="12">
        <v>152.0814506876259</v>
      </c>
    </row>
    <row r="286" spans="1:18" ht="32.1" customHeight="1" x14ac:dyDescent="0.25">
      <c r="A286" s="10" t="s">
        <v>56</v>
      </c>
      <c r="B286" s="10" t="s">
        <v>121</v>
      </c>
      <c r="C286" s="10" t="s">
        <v>59</v>
      </c>
      <c r="D286" s="10" t="s">
        <v>62</v>
      </c>
      <c r="E286" s="10" t="s">
        <v>123</v>
      </c>
      <c r="F286" s="10" t="s">
        <v>169</v>
      </c>
      <c r="G286" s="11">
        <v>7</v>
      </c>
      <c r="H286" s="12">
        <v>134.06979155645089</v>
      </c>
      <c r="I286" s="12">
        <v>134.37067187208871</v>
      </c>
      <c r="J286" s="12"/>
      <c r="K286" s="12"/>
      <c r="L286" s="12">
        <v>92.939433294017206</v>
      </c>
      <c r="M286" s="12">
        <v>193.6950202099292</v>
      </c>
      <c r="N286" s="12">
        <v>34.804409077407527</v>
      </c>
      <c r="O286" s="12">
        <v>0.25959918840295149</v>
      </c>
      <c r="P286" s="10" t="s">
        <v>168</v>
      </c>
      <c r="Q286" s="12">
        <v>96.530249920644636</v>
      </c>
      <c r="R286" s="12">
        <v>136.06979155645089</v>
      </c>
    </row>
    <row r="287" spans="1:18" ht="32.1" customHeight="1" x14ac:dyDescent="0.25">
      <c r="A287" s="10" t="s">
        <v>56</v>
      </c>
      <c r="B287" s="10" t="s">
        <v>121</v>
      </c>
      <c r="C287" s="10" t="s">
        <v>59</v>
      </c>
      <c r="D287" s="10" t="s">
        <v>62</v>
      </c>
      <c r="E287" s="10" t="s">
        <v>124</v>
      </c>
      <c r="F287" s="10" t="s">
        <v>167</v>
      </c>
      <c r="G287" s="11">
        <v>73</v>
      </c>
      <c r="H287" s="12">
        <v>147.24152102919669</v>
      </c>
      <c r="I287" s="12">
        <v>129.43690281740791</v>
      </c>
      <c r="J287" s="12">
        <v>260.69725752742522</v>
      </c>
      <c r="K287" s="12"/>
      <c r="L287" s="12">
        <v>56.38297043034666</v>
      </c>
      <c r="M287" s="12">
        <v>416.42913029464739</v>
      </c>
      <c r="N287" s="12">
        <v>65.47882383942779</v>
      </c>
      <c r="O287" s="12">
        <v>0.4447035277939293</v>
      </c>
      <c r="P287" s="10" t="s">
        <v>168</v>
      </c>
      <c r="Q287" s="12">
        <v>105.4917784056848</v>
      </c>
      <c r="R287" s="12">
        <v>149.24152102919669</v>
      </c>
    </row>
    <row r="288" spans="1:18" ht="32.1" customHeight="1" x14ac:dyDescent="0.25">
      <c r="A288" s="10" t="s">
        <v>56</v>
      </c>
      <c r="B288" s="10" t="s">
        <v>121</v>
      </c>
      <c r="C288" s="10" t="s">
        <v>59</v>
      </c>
      <c r="D288" s="10" t="s">
        <v>62</v>
      </c>
      <c r="E288" s="10" t="s">
        <v>124</v>
      </c>
      <c r="F288" s="10" t="s">
        <v>169</v>
      </c>
      <c r="G288" s="11">
        <v>8</v>
      </c>
      <c r="H288" s="12">
        <v>168.25715910400359</v>
      </c>
      <c r="I288" s="12">
        <v>162.4827223236417</v>
      </c>
      <c r="J288" s="12"/>
      <c r="K288" s="12"/>
      <c r="L288" s="12">
        <v>80.219865146497852</v>
      </c>
      <c r="M288" s="12">
        <v>253.700831311445</v>
      </c>
      <c r="N288" s="12">
        <v>63.87076074682534</v>
      </c>
      <c r="O288" s="12">
        <v>0.37960203944335802</v>
      </c>
      <c r="P288" s="10" t="s">
        <v>168</v>
      </c>
      <c r="Q288" s="12">
        <v>121.14515455488259</v>
      </c>
      <c r="R288" s="12">
        <v>170.25715910400359</v>
      </c>
    </row>
    <row r="289" spans="1:18" ht="32.1" customHeight="1" x14ac:dyDescent="0.25">
      <c r="A289" s="10" t="s">
        <v>56</v>
      </c>
      <c r="B289" s="10" t="s">
        <v>121</v>
      </c>
      <c r="C289" s="10" t="s">
        <v>59</v>
      </c>
      <c r="D289" s="10" t="s">
        <v>62</v>
      </c>
      <c r="E289" s="10" t="s">
        <v>125</v>
      </c>
      <c r="F289" s="10" t="s">
        <v>167</v>
      </c>
      <c r="G289" s="11">
        <v>97</v>
      </c>
      <c r="H289" s="12">
        <v>188.02068598153861</v>
      </c>
      <c r="I289" s="12">
        <v>137.7231984276554</v>
      </c>
      <c r="J289" s="12">
        <v>263.17434884739578</v>
      </c>
      <c r="K289" s="12"/>
      <c r="L289" s="12">
        <v>53.192636331344737</v>
      </c>
      <c r="M289" s="12">
        <v>4389.9055717516494</v>
      </c>
      <c r="N289" s="12">
        <v>435.36127571497451</v>
      </c>
      <c r="O289" s="12">
        <v>2.3154966882618528</v>
      </c>
      <c r="P289" s="10" t="s">
        <v>168</v>
      </c>
      <c r="Q289" s="12">
        <v>136.98945700162619</v>
      </c>
      <c r="R289" s="12">
        <v>190.02068598153861</v>
      </c>
    </row>
    <row r="290" spans="1:18" ht="32.1" customHeight="1" x14ac:dyDescent="0.25">
      <c r="A290" s="10" t="s">
        <v>56</v>
      </c>
      <c r="B290" s="10" t="s">
        <v>121</v>
      </c>
      <c r="C290" s="10" t="s">
        <v>59</v>
      </c>
      <c r="D290" s="10" t="s">
        <v>62</v>
      </c>
      <c r="E290" s="10" t="s">
        <v>125</v>
      </c>
      <c r="F290" s="10" t="s">
        <v>169</v>
      </c>
      <c r="G290" s="11">
        <v>6</v>
      </c>
      <c r="H290" s="12">
        <v>172.16974406011221</v>
      </c>
      <c r="I290" s="12">
        <v>123.2217117564316</v>
      </c>
      <c r="J290" s="12"/>
      <c r="K290" s="12"/>
      <c r="L290" s="12">
        <v>60.233008427679898</v>
      </c>
      <c r="M290" s="12">
        <v>487.36905070118547</v>
      </c>
      <c r="N290" s="12">
        <v>158.46209775407499</v>
      </c>
      <c r="O290" s="12">
        <v>0.92038295473535003</v>
      </c>
      <c r="P290" s="10" t="s">
        <v>168</v>
      </c>
      <c r="Q290" s="12">
        <v>123.96221572328081</v>
      </c>
      <c r="R290" s="12">
        <v>174.16974406011221</v>
      </c>
    </row>
    <row r="291" spans="1:18" ht="32.1" customHeight="1" x14ac:dyDescent="0.25">
      <c r="A291" s="10" t="s">
        <v>56</v>
      </c>
      <c r="B291" s="10" t="s">
        <v>121</v>
      </c>
      <c r="C291" s="10" t="s">
        <v>59</v>
      </c>
      <c r="D291" s="10" t="s">
        <v>63</v>
      </c>
      <c r="E291" s="10" t="s">
        <v>120</v>
      </c>
      <c r="F291" s="10" t="s">
        <v>167</v>
      </c>
      <c r="G291" s="11">
        <v>562</v>
      </c>
      <c r="H291" s="12">
        <v>46.609918507396401</v>
      </c>
      <c r="I291" s="12">
        <v>42.763107160444427</v>
      </c>
      <c r="J291" s="12">
        <v>77.513982885882669</v>
      </c>
      <c r="K291" s="12"/>
      <c r="L291" s="12">
        <v>15.95857842395708</v>
      </c>
      <c r="M291" s="12">
        <v>374.88626665714651</v>
      </c>
      <c r="N291" s="12">
        <v>22.59691576828417</v>
      </c>
      <c r="O291" s="12">
        <v>0.48480916705954608</v>
      </c>
      <c r="P291" s="10" t="s">
        <v>168</v>
      </c>
      <c r="Q291" s="12">
        <v>33.663968549995403</v>
      </c>
      <c r="R291" s="12">
        <v>48.609918507396408</v>
      </c>
    </row>
    <row r="292" spans="1:18" ht="32.1" customHeight="1" x14ac:dyDescent="0.25">
      <c r="A292" s="10" t="s">
        <v>56</v>
      </c>
      <c r="B292" s="10" t="s">
        <v>121</v>
      </c>
      <c r="C292" s="10" t="s">
        <v>59</v>
      </c>
      <c r="D292" s="10" t="s">
        <v>63</v>
      </c>
      <c r="E292" s="10" t="s">
        <v>120</v>
      </c>
      <c r="F292" s="10" t="s">
        <v>169</v>
      </c>
      <c r="G292" s="11">
        <v>30</v>
      </c>
      <c r="H292" s="12">
        <v>44.841496812157352</v>
      </c>
      <c r="I292" s="12">
        <v>41.127847932215232</v>
      </c>
      <c r="J292" s="12">
        <v>78.640915729030894</v>
      </c>
      <c r="K292" s="12"/>
      <c r="L292" s="12">
        <v>18.854415329427979</v>
      </c>
      <c r="M292" s="12">
        <v>89.076916544630109</v>
      </c>
      <c r="N292" s="12">
        <v>17.272181453269411</v>
      </c>
      <c r="O292" s="12">
        <v>0.38518298186216221</v>
      </c>
      <c r="P292" s="10" t="s">
        <v>168</v>
      </c>
      <c r="Q292" s="12">
        <v>32.539965628363248</v>
      </c>
      <c r="R292" s="12">
        <v>46.841496812157352</v>
      </c>
    </row>
    <row r="293" spans="1:18" ht="32.1" customHeight="1" x14ac:dyDescent="0.25">
      <c r="A293" s="10" t="s">
        <v>56</v>
      </c>
      <c r="B293" s="10" t="s">
        <v>121</v>
      </c>
      <c r="C293" s="10" t="s">
        <v>59</v>
      </c>
      <c r="D293" s="10" t="s">
        <v>63</v>
      </c>
      <c r="E293" s="10" t="s">
        <v>122</v>
      </c>
      <c r="F293" s="10" t="s">
        <v>167</v>
      </c>
      <c r="G293" s="11">
        <v>556</v>
      </c>
      <c r="H293" s="12">
        <v>42.685759466174801</v>
      </c>
      <c r="I293" s="12">
        <v>39.430616550811749</v>
      </c>
      <c r="J293" s="12">
        <v>72.631627764633535</v>
      </c>
      <c r="K293" s="12"/>
      <c r="L293" s="12">
        <v>12.59425494843663</v>
      </c>
      <c r="M293" s="12">
        <v>308.58300459176598</v>
      </c>
      <c r="N293" s="12">
        <v>20.354285588548699</v>
      </c>
      <c r="O293" s="12">
        <v>0.4768401884632722</v>
      </c>
      <c r="P293" s="10" t="s">
        <v>168</v>
      </c>
      <c r="Q293" s="12">
        <v>30.758766550238729</v>
      </c>
      <c r="R293" s="12">
        <v>44.685759466174801</v>
      </c>
    </row>
    <row r="294" spans="1:18" ht="32.1" customHeight="1" x14ac:dyDescent="0.25">
      <c r="A294" s="10" t="s">
        <v>56</v>
      </c>
      <c r="B294" s="10" t="s">
        <v>121</v>
      </c>
      <c r="C294" s="10" t="s">
        <v>59</v>
      </c>
      <c r="D294" s="10" t="s">
        <v>63</v>
      </c>
      <c r="E294" s="10" t="s">
        <v>122</v>
      </c>
      <c r="F294" s="10" t="s">
        <v>169</v>
      </c>
      <c r="G294" s="11">
        <v>36</v>
      </c>
      <c r="H294" s="12">
        <v>68.353555152218675</v>
      </c>
      <c r="I294" s="12">
        <v>40.939545041613641</v>
      </c>
      <c r="J294" s="12">
        <v>76.462203115991201</v>
      </c>
      <c r="K294" s="12"/>
      <c r="L294" s="12">
        <v>17.41277055997255</v>
      </c>
      <c r="M294" s="12">
        <v>947.05841763832075</v>
      </c>
      <c r="N294" s="12">
        <v>151.54354387843111</v>
      </c>
      <c r="O294" s="12">
        <v>2.2170543074307409</v>
      </c>
      <c r="P294" s="10" t="s">
        <v>168</v>
      </c>
      <c r="Q294" s="12">
        <v>49.214559709597452</v>
      </c>
      <c r="R294" s="12">
        <v>70.353555152218675</v>
      </c>
    </row>
    <row r="295" spans="1:18" ht="32.1" customHeight="1" x14ac:dyDescent="0.25">
      <c r="A295" s="10" t="s">
        <v>56</v>
      </c>
      <c r="B295" s="10" t="s">
        <v>121</v>
      </c>
      <c r="C295" s="10" t="s">
        <v>59</v>
      </c>
      <c r="D295" s="10" t="s">
        <v>63</v>
      </c>
      <c r="E295" s="10" t="s">
        <v>123</v>
      </c>
      <c r="F295" s="10" t="s">
        <v>167</v>
      </c>
      <c r="G295" s="11">
        <v>530</v>
      </c>
      <c r="H295" s="12">
        <v>48.532718078809488</v>
      </c>
      <c r="I295" s="12">
        <v>42.473503157108752</v>
      </c>
      <c r="J295" s="12">
        <v>81.316193217131442</v>
      </c>
      <c r="K295" s="12"/>
      <c r="L295" s="12">
        <v>10.613492859746961</v>
      </c>
      <c r="M295" s="12">
        <v>1153.6269680237419</v>
      </c>
      <c r="N295" s="12">
        <v>55.727919861089838</v>
      </c>
      <c r="O295" s="12">
        <v>1.1482546633921571</v>
      </c>
      <c r="P295" s="10" t="s">
        <v>168</v>
      </c>
      <c r="Q295" s="12">
        <v>35.015939017206676</v>
      </c>
      <c r="R295" s="12">
        <v>50.532718078809488</v>
      </c>
    </row>
    <row r="296" spans="1:18" ht="32.1" customHeight="1" x14ac:dyDescent="0.25">
      <c r="A296" s="10" t="s">
        <v>56</v>
      </c>
      <c r="B296" s="10" t="s">
        <v>121</v>
      </c>
      <c r="C296" s="10" t="s">
        <v>59</v>
      </c>
      <c r="D296" s="10" t="s">
        <v>63</v>
      </c>
      <c r="E296" s="10" t="s">
        <v>123</v>
      </c>
      <c r="F296" s="10" t="s">
        <v>169</v>
      </c>
      <c r="G296" s="11">
        <v>44</v>
      </c>
      <c r="H296" s="12">
        <v>43.829093853374161</v>
      </c>
      <c r="I296" s="12">
        <v>42.232295963429152</v>
      </c>
      <c r="J296" s="12">
        <v>81.261427663245769</v>
      </c>
      <c r="K296" s="12"/>
      <c r="L296" s="12">
        <v>20.485194238828772</v>
      </c>
      <c r="M296" s="12">
        <v>99.384353147365502</v>
      </c>
      <c r="N296" s="12">
        <v>18.620609302655339</v>
      </c>
      <c r="O296" s="12">
        <v>0.42484586528183138</v>
      </c>
      <c r="P296" s="10" t="s">
        <v>168</v>
      </c>
      <c r="Q296" s="12">
        <v>31.476197484667079</v>
      </c>
      <c r="R296" s="12">
        <v>45.829093853374161</v>
      </c>
    </row>
    <row r="297" spans="1:18" ht="32.1" customHeight="1" x14ac:dyDescent="0.25">
      <c r="A297" s="10" t="s">
        <v>56</v>
      </c>
      <c r="B297" s="10" t="s">
        <v>121</v>
      </c>
      <c r="C297" s="10" t="s">
        <v>59</v>
      </c>
      <c r="D297" s="10" t="s">
        <v>63</v>
      </c>
      <c r="E297" s="10" t="s">
        <v>124</v>
      </c>
      <c r="F297" s="10" t="s">
        <v>167</v>
      </c>
      <c r="G297" s="11">
        <v>572</v>
      </c>
      <c r="H297" s="12">
        <v>49.471757563621672</v>
      </c>
      <c r="I297" s="12">
        <v>44.548480894654361</v>
      </c>
      <c r="J297" s="12">
        <v>83.826856711560211</v>
      </c>
      <c r="K297" s="12"/>
      <c r="L297" s="12">
        <v>16.200087762405619</v>
      </c>
      <c r="M297" s="12">
        <v>604.45086425507077</v>
      </c>
      <c r="N297" s="12">
        <v>37.108091671630753</v>
      </c>
      <c r="O297" s="12">
        <v>0.75008638259736393</v>
      </c>
      <c r="P297" s="10" t="s">
        <v>168</v>
      </c>
      <c r="Q297" s="12">
        <v>35.536475151481703</v>
      </c>
      <c r="R297" s="12">
        <v>51.471757563621672</v>
      </c>
    </row>
    <row r="298" spans="1:18" ht="32.1" customHeight="1" x14ac:dyDescent="0.25">
      <c r="A298" s="10" t="s">
        <v>56</v>
      </c>
      <c r="B298" s="10" t="s">
        <v>121</v>
      </c>
      <c r="C298" s="10" t="s">
        <v>59</v>
      </c>
      <c r="D298" s="10" t="s">
        <v>63</v>
      </c>
      <c r="E298" s="10" t="s">
        <v>124</v>
      </c>
      <c r="F298" s="10" t="s">
        <v>169</v>
      </c>
      <c r="G298" s="11">
        <v>30</v>
      </c>
      <c r="H298" s="12">
        <v>49.717413077281442</v>
      </c>
      <c r="I298" s="12">
        <v>43.167736742811833</v>
      </c>
      <c r="J298" s="12">
        <v>94.116562278160416</v>
      </c>
      <c r="K298" s="12"/>
      <c r="L298" s="12">
        <v>23.071868940494792</v>
      </c>
      <c r="M298" s="12">
        <v>110.65672158684769</v>
      </c>
      <c r="N298" s="12">
        <v>22.16195315283267</v>
      </c>
      <c r="O298" s="12">
        <v>0.44575837279352848</v>
      </c>
      <c r="P298" s="10" t="s">
        <v>168</v>
      </c>
      <c r="Q298" s="12">
        <v>35.826965564697943</v>
      </c>
      <c r="R298" s="12">
        <v>51.717413077281442</v>
      </c>
    </row>
    <row r="299" spans="1:18" ht="32.1" customHeight="1" x14ac:dyDescent="0.25">
      <c r="A299" s="10" t="s">
        <v>56</v>
      </c>
      <c r="B299" s="10" t="s">
        <v>121</v>
      </c>
      <c r="C299" s="10" t="s">
        <v>59</v>
      </c>
      <c r="D299" s="10" t="s">
        <v>63</v>
      </c>
      <c r="E299" s="10" t="s">
        <v>125</v>
      </c>
      <c r="F299" s="10" t="s">
        <v>167</v>
      </c>
      <c r="G299" s="11">
        <v>541</v>
      </c>
      <c r="H299" s="12">
        <v>48.165076743711523</v>
      </c>
      <c r="I299" s="12">
        <v>42.671984274841613</v>
      </c>
      <c r="J299" s="12">
        <v>81.125767720171808</v>
      </c>
      <c r="K299" s="12"/>
      <c r="L299" s="12">
        <v>12.72112649641403</v>
      </c>
      <c r="M299" s="12">
        <v>809.5789588567302</v>
      </c>
      <c r="N299" s="12">
        <v>39.760962177405922</v>
      </c>
      <c r="O299" s="12">
        <v>0.82551435325175004</v>
      </c>
      <c r="P299" s="10" t="s">
        <v>168</v>
      </c>
      <c r="Q299" s="12">
        <v>34.743368316527643</v>
      </c>
      <c r="R299" s="12">
        <v>50.165076743711523</v>
      </c>
    </row>
    <row r="300" spans="1:18" ht="32.1" customHeight="1" x14ac:dyDescent="0.25">
      <c r="A300" s="10" t="s">
        <v>56</v>
      </c>
      <c r="B300" s="10" t="s">
        <v>121</v>
      </c>
      <c r="C300" s="10" t="s">
        <v>59</v>
      </c>
      <c r="D300" s="10" t="s">
        <v>63</v>
      </c>
      <c r="E300" s="10" t="s">
        <v>125</v>
      </c>
      <c r="F300" s="10" t="s">
        <v>169</v>
      </c>
      <c r="G300" s="11">
        <v>33</v>
      </c>
      <c r="H300" s="12">
        <v>47.845790502953783</v>
      </c>
      <c r="I300" s="12">
        <v>42.025464034670122</v>
      </c>
      <c r="J300" s="12">
        <v>74.655279417827998</v>
      </c>
      <c r="K300" s="12"/>
      <c r="L300" s="12">
        <v>21.410144941367282</v>
      </c>
      <c r="M300" s="12">
        <v>116.999093092462</v>
      </c>
      <c r="N300" s="12">
        <v>19.513895931438931</v>
      </c>
      <c r="O300" s="12">
        <v>0.40784979673884242</v>
      </c>
      <c r="P300" s="10" t="s">
        <v>168</v>
      </c>
      <c r="Q300" s="12">
        <v>34.727924326173493</v>
      </c>
      <c r="R300" s="12">
        <v>49.845790502953783</v>
      </c>
    </row>
    <row r="301" spans="1:18" ht="32.1" customHeight="1" x14ac:dyDescent="0.25">
      <c r="A301" s="10" t="s">
        <v>56</v>
      </c>
      <c r="B301" s="10" t="s">
        <v>121</v>
      </c>
      <c r="C301" s="10" t="s">
        <v>59</v>
      </c>
      <c r="D301" s="10" t="s">
        <v>64</v>
      </c>
      <c r="E301" s="10" t="s">
        <v>120</v>
      </c>
      <c r="F301" s="10" t="s">
        <v>167</v>
      </c>
      <c r="G301" s="11">
        <v>146</v>
      </c>
      <c r="H301" s="12">
        <v>68.936594475992962</v>
      </c>
      <c r="I301" s="12">
        <v>61.385226773002323</v>
      </c>
      <c r="J301" s="12">
        <v>121.7590705381327</v>
      </c>
      <c r="K301" s="12"/>
      <c r="L301" s="12">
        <v>26.074871546776048</v>
      </c>
      <c r="M301" s="12">
        <v>131.8270041215676</v>
      </c>
      <c r="N301" s="12">
        <v>27.117285970764261</v>
      </c>
      <c r="O301" s="12">
        <v>0.3933656162868302</v>
      </c>
      <c r="P301" s="10" t="s">
        <v>168</v>
      </c>
      <c r="Q301" s="12">
        <v>49.384497293343259</v>
      </c>
      <c r="R301" s="12">
        <v>70.936594475992962</v>
      </c>
    </row>
    <row r="302" spans="1:18" ht="32.1" customHeight="1" x14ac:dyDescent="0.25">
      <c r="A302" s="10" t="s">
        <v>56</v>
      </c>
      <c r="B302" s="10" t="s">
        <v>121</v>
      </c>
      <c r="C302" s="10" t="s">
        <v>59</v>
      </c>
      <c r="D302" s="10" t="s">
        <v>64</v>
      </c>
      <c r="E302" s="10" t="s">
        <v>120</v>
      </c>
      <c r="F302" s="10" t="s">
        <v>169</v>
      </c>
      <c r="G302" s="11">
        <v>7</v>
      </c>
      <c r="H302" s="12">
        <v>58.575475964518347</v>
      </c>
      <c r="I302" s="12">
        <v>51.584411110145261</v>
      </c>
      <c r="J302" s="12"/>
      <c r="K302" s="12"/>
      <c r="L302" s="12">
        <v>46.356125495154039</v>
      </c>
      <c r="M302" s="12">
        <v>103.5899604953654</v>
      </c>
      <c r="N302" s="12">
        <v>20.356393893496861</v>
      </c>
      <c r="O302" s="12">
        <v>0.34752417386804663</v>
      </c>
      <c r="P302" s="10" t="s">
        <v>168</v>
      </c>
      <c r="Q302" s="12">
        <v>42.174342694453223</v>
      </c>
      <c r="R302" s="12">
        <v>60.575475964518347</v>
      </c>
    </row>
    <row r="303" spans="1:18" ht="32.1" customHeight="1" x14ac:dyDescent="0.25">
      <c r="A303" s="10" t="s">
        <v>56</v>
      </c>
      <c r="B303" s="10" t="s">
        <v>121</v>
      </c>
      <c r="C303" s="10" t="s">
        <v>59</v>
      </c>
      <c r="D303" s="10" t="s">
        <v>64</v>
      </c>
      <c r="E303" s="10" t="s">
        <v>122</v>
      </c>
      <c r="F303" s="10" t="s">
        <v>167</v>
      </c>
      <c r="G303" s="11">
        <v>151</v>
      </c>
      <c r="H303" s="12">
        <v>62.332419502743363</v>
      </c>
      <c r="I303" s="12">
        <v>60.184561801235752</v>
      </c>
      <c r="J303" s="12">
        <v>112.03888653799009</v>
      </c>
      <c r="K303" s="12"/>
      <c r="L303" s="12">
        <v>20.827560403649219</v>
      </c>
      <c r="M303" s="12">
        <v>171.04862412974131</v>
      </c>
      <c r="N303" s="12">
        <v>26.012578071548749</v>
      </c>
      <c r="O303" s="12">
        <v>0.41732020478370629</v>
      </c>
      <c r="P303" s="10" t="s">
        <v>168</v>
      </c>
      <c r="Q303" s="12">
        <v>44.62619214752683</v>
      </c>
      <c r="R303" s="12">
        <v>64.332419502743377</v>
      </c>
    </row>
    <row r="304" spans="1:18" ht="32.1" customHeight="1" x14ac:dyDescent="0.25">
      <c r="A304" s="10" t="s">
        <v>56</v>
      </c>
      <c r="B304" s="10" t="s">
        <v>121</v>
      </c>
      <c r="C304" s="10" t="s">
        <v>59</v>
      </c>
      <c r="D304" s="10" t="s">
        <v>64</v>
      </c>
      <c r="E304" s="10" t="s">
        <v>122</v>
      </c>
      <c r="F304" s="10" t="s">
        <v>169</v>
      </c>
      <c r="G304" s="11">
        <v>15</v>
      </c>
      <c r="H304" s="12">
        <v>63.573128734656862</v>
      </c>
      <c r="I304" s="12">
        <v>63.696588776514247</v>
      </c>
      <c r="J304" s="12"/>
      <c r="K304" s="12"/>
      <c r="L304" s="12">
        <v>33.353503035843701</v>
      </c>
      <c r="M304" s="12">
        <v>103.8676839209558</v>
      </c>
      <c r="N304" s="12">
        <v>20.754961737486489</v>
      </c>
      <c r="O304" s="12">
        <v>0.32647381292360289</v>
      </c>
      <c r="P304" s="10" t="s">
        <v>168</v>
      </c>
      <c r="Q304" s="12">
        <v>47.605392196000651</v>
      </c>
      <c r="R304" s="12">
        <v>65.573128734656862</v>
      </c>
    </row>
    <row r="305" spans="1:18" ht="32.1" customHeight="1" x14ac:dyDescent="0.25">
      <c r="A305" s="10" t="s">
        <v>56</v>
      </c>
      <c r="B305" s="10" t="s">
        <v>121</v>
      </c>
      <c r="C305" s="10" t="s">
        <v>59</v>
      </c>
      <c r="D305" s="10" t="s">
        <v>64</v>
      </c>
      <c r="E305" s="10" t="s">
        <v>123</v>
      </c>
      <c r="F305" s="10" t="s">
        <v>167</v>
      </c>
      <c r="G305" s="11">
        <v>156</v>
      </c>
      <c r="H305" s="12">
        <v>72.847264150767685</v>
      </c>
      <c r="I305" s="12">
        <v>69.395685380677861</v>
      </c>
      <c r="J305" s="12">
        <v>126.8144279877566</v>
      </c>
      <c r="K305" s="12"/>
      <c r="L305" s="12">
        <v>27.635501959231121</v>
      </c>
      <c r="M305" s="12">
        <v>221.782400229209</v>
      </c>
      <c r="N305" s="12">
        <v>30.477588110138239</v>
      </c>
      <c r="O305" s="12">
        <v>0.41837656452081129</v>
      </c>
      <c r="P305" s="10" t="s">
        <v>168</v>
      </c>
      <c r="Q305" s="12">
        <v>52.774973918447017</v>
      </c>
      <c r="R305" s="12">
        <v>74.847264150767685</v>
      </c>
    </row>
    <row r="306" spans="1:18" ht="32.1" customHeight="1" x14ac:dyDescent="0.25">
      <c r="A306" s="10" t="s">
        <v>56</v>
      </c>
      <c r="B306" s="10" t="s">
        <v>121</v>
      </c>
      <c r="C306" s="10" t="s">
        <v>59</v>
      </c>
      <c r="D306" s="10" t="s">
        <v>64</v>
      </c>
      <c r="E306" s="10" t="s">
        <v>123</v>
      </c>
      <c r="F306" s="10" t="s">
        <v>169</v>
      </c>
      <c r="G306" s="11">
        <v>8</v>
      </c>
      <c r="H306" s="12">
        <v>55.43124622214593</v>
      </c>
      <c r="I306" s="12">
        <v>61.027311774475919</v>
      </c>
      <c r="J306" s="12"/>
      <c r="K306" s="12"/>
      <c r="L306" s="12">
        <v>28.961818442092849</v>
      </c>
      <c r="M306" s="12">
        <v>76.104923208829021</v>
      </c>
      <c r="N306" s="12">
        <v>16.033810647491759</v>
      </c>
      <c r="O306" s="12">
        <v>0.28925582122463478</v>
      </c>
      <c r="P306" s="10" t="s">
        <v>168</v>
      </c>
      <c r="Q306" s="12">
        <v>38.635542039000761</v>
      </c>
      <c r="R306" s="12">
        <v>57.43124622214593</v>
      </c>
    </row>
    <row r="307" spans="1:18" ht="32.1" customHeight="1" x14ac:dyDescent="0.25">
      <c r="A307" s="10" t="s">
        <v>56</v>
      </c>
      <c r="B307" s="10" t="s">
        <v>121</v>
      </c>
      <c r="C307" s="10" t="s">
        <v>59</v>
      </c>
      <c r="D307" s="10" t="s">
        <v>64</v>
      </c>
      <c r="E307" s="10" t="s">
        <v>124</v>
      </c>
      <c r="F307" s="10" t="s">
        <v>167</v>
      </c>
      <c r="G307" s="11">
        <v>139</v>
      </c>
      <c r="H307" s="12">
        <v>70.613203012357232</v>
      </c>
      <c r="I307" s="12">
        <v>65.977327995064556</v>
      </c>
      <c r="J307" s="12">
        <v>134.11019440335701</v>
      </c>
      <c r="K307" s="12"/>
      <c r="L307" s="12">
        <v>22.057525986296369</v>
      </c>
      <c r="M307" s="12">
        <v>198.0069973672949</v>
      </c>
      <c r="N307" s="12">
        <v>30.28207609516673</v>
      </c>
      <c r="O307" s="12">
        <v>0.4288443917473535</v>
      </c>
      <c r="P307" s="10" t="s">
        <v>168</v>
      </c>
      <c r="Q307" s="12">
        <v>51.348400104767848</v>
      </c>
      <c r="R307" s="12">
        <v>72.613203012357232</v>
      </c>
    </row>
    <row r="308" spans="1:18" ht="32.1" customHeight="1" x14ac:dyDescent="0.25">
      <c r="A308" s="10" t="s">
        <v>56</v>
      </c>
      <c r="B308" s="10" t="s">
        <v>121</v>
      </c>
      <c r="C308" s="10" t="s">
        <v>59</v>
      </c>
      <c r="D308" s="10" t="s">
        <v>64</v>
      </c>
      <c r="E308" s="10" t="s">
        <v>124</v>
      </c>
      <c r="F308" s="10" t="s">
        <v>169</v>
      </c>
      <c r="G308" s="11">
        <v>8</v>
      </c>
      <c r="H308" s="12">
        <v>70.669584610290343</v>
      </c>
      <c r="I308" s="12">
        <v>62.47923351741737</v>
      </c>
      <c r="J308" s="12"/>
      <c r="K308" s="12"/>
      <c r="L308" s="12">
        <v>26.161141529564929</v>
      </c>
      <c r="M308" s="12">
        <v>160.89508217619121</v>
      </c>
      <c r="N308" s="12">
        <v>39.024461524053613</v>
      </c>
      <c r="O308" s="12">
        <v>0.5522101444242985</v>
      </c>
      <c r="P308" s="10" t="s">
        <v>168</v>
      </c>
      <c r="Q308" s="12">
        <v>51.700712538077219</v>
      </c>
      <c r="R308" s="12">
        <v>72.669584610290343</v>
      </c>
    </row>
    <row r="309" spans="1:18" ht="32.1" customHeight="1" x14ac:dyDescent="0.25">
      <c r="A309" s="10" t="s">
        <v>56</v>
      </c>
      <c r="B309" s="10" t="s">
        <v>121</v>
      </c>
      <c r="C309" s="10" t="s">
        <v>59</v>
      </c>
      <c r="D309" s="10" t="s">
        <v>64</v>
      </c>
      <c r="E309" s="10" t="s">
        <v>125</v>
      </c>
      <c r="F309" s="10" t="s">
        <v>167</v>
      </c>
      <c r="G309" s="11">
        <v>142</v>
      </c>
      <c r="H309" s="12">
        <v>68.340787173566127</v>
      </c>
      <c r="I309" s="12">
        <v>63.181176366074688</v>
      </c>
      <c r="J309" s="12">
        <v>127.39425697726671</v>
      </c>
      <c r="K309" s="12"/>
      <c r="L309" s="12">
        <v>20.438643581038509</v>
      </c>
      <c r="M309" s="12">
        <v>170.18476330416141</v>
      </c>
      <c r="N309" s="12">
        <v>29.60040230319418</v>
      </c>
      <c r="O309" s="12">
        <v>0.43312937306410582</v>
      </c>
      <c r="P309" s="10" t="s">
        <v>168</v>
      </c>
      <c r="Q309" s="12">
        <v>49.808104891443101</v>
      </c>
      <c r="R309" s="12">
        <v>70.340787173566127</v>
      </c>
    </row>
    <row r="310" spans="1:18" ht="32.1" customHeight="1" x14ac:dyDescent="0.25">
      <c r="A310" s="10" t="s">
        <v>56</v>
      </c>
      <c r="B310" s="10" t="s">
        <v>121</v>
      </c>
      <c r="C310" s="10" t="s">
        <v>59</v>
      </c>
      <c r="D310" s="10" t="s">
        <v>64</v>
      </c>
      <c r="E310" s="10" t="s">
        <v>125</v>
      </c>
      <c r="F310" s="10" t="s">
        <v>169</v>
      </c>
      <c r="G310" s="11">
        <v>11</v>
      </c>
      <c r="H310" s="12">
        <v>79.926809792731774</v>
      </c>
      <c r="I310" s="12">
        <v>52.024078964944209</v>
      </c>
      <c r="J310" s="12"/>
      <c r="K310" s="12"/>
      <c r="L310" s="12">
        <v>29.67963131384619</v>
      </c>
      <c r="M310" s="12">
        <v>239.23892817127879</v>
      </c>
      <c r="N310" s="12">
        <v>58.602607578443141</v>
      </c>
      <c r="O310" s="12">
        <v>0.7332033860779994</v>
      </c>
      <c r="P310" s="10" t="s">
        <v>168</v>
      </c>
      <c r="Q310" s="12">
        <v>57.547303050766871</v>
      </c>
      <c r="R310" s="12">
        <v>81.926809792731774</v>
      </c>
    </row>
    <row r="311" spans="1:18" ht="32.1" customHeight="1" x14ac:dyDescent="0.25">
      <c r="A311" s="10" t="s">
        <v>56</v>
      </c>
      <c r="B311" s="10" t="s">
        <v>121</v>
      </c>
      <c r="C311" s="10" t="s">
        <v>70</v>
      </c>
      <c r="D311" s="10" t="s">
        <v>62</v>
      </c>
      <c r="E311" s="10" t="s">
        <v>126</v>
      </c>
      <c r="F311" s="10" t="s">
        <v>167</v>
      </c>
      <c r="G311" s="11">
        <v>1</v>
      </c>
      <c r="H311" s="12">
        <v>100.48545870554631</v>
      </c>
      <c r="I311" s="12">
        <v>100.48545870554631</v>
      </c>
      <c r="J311" s="12"/>
      <c r="K311" s="12"/>
      <c r="L311" s="12">
        <v>100.48545870554631</v>
      </c>
      <c r="M311" s="12">
        <v>100.48545870554631</v>
      </c>
      <c r="N311" s="12"/>
      <c r="O311" s="12"/>
      <c r="P311" s="10" t="s">
        <v>168</v>
      </c>
      <c r="Q311" s="12">
        <v>72.349530267993345</v>
      </c>
      <c r="R311" s="12">
        <v>102.48545870554631</v>
      </c>
    </row>
    <row r="312" spans="1:18" ht="32.1" customHeight="1" x14ac:dyDescent="0.25">
      <c r="A312" s="10" t="s">
        <v>56</v>
      </c>
      <c r="B312" s="10" t="s">
        <v>121</v>
      </c>
      <c r="C312" s="10" t="s">
        <v>70</v>
      </c>
      <c r="D312" s="10" t="s">
        <v>62</v>
      </c>
      <c r="E312" s="10" t="s">
        <v>127</v>
      </c>
      <c r="F312" s="10" t="s">
        <v>167</v>
      </c>
      <c r="G312" s="11">
        <v>1</v>
      </c>
      <c r="H312" s="12">
        <v>94.088516732251719</v>
      </c>
      <c r="I312" s="12">
        <v>94.088516732251719</v>
      </c>
      <c r="J312" s="12"/>
      <c r="K312" s="12"/>
      <c r="L312" s="12">
        <v>94.088516732251719</v>
      </c>
      <c r="M312" s="12">
        <v>94.088516732251719</v>
      </c>
      <c r="N312" s="12"/>
      <c r="O312" s="12"/>
      <c r="P312" s="10" t="s">
        <v>168</v>
      </c>
      <c r="Q312" s="12">
        <v>67.743732047221243</v>
      </c>
      <c r="R312" s="12">
        <v>96.088516732251719</v>
      </c>
    </row>
    <row r="313" spans="1:18" ht="32.1" customHeight="1" x14ac:dyDescent="0.25">
      <c r="A313" s="10" t="s">
        <v>56</v>
      </c>
      <c r="B313" s="10" t="s">
        <v>121</v>
      </c>
      <c r="C313" s="10" t="s">
        <v>70</v>
      </c>
      <c r="D313" s="10" t="s">
        <v>62</v>
      </c>
      <c r="E313" s="10" t="s">
        <v>128</v>
      </c>
      <c r="F313" s="10" t="s">
        <v>167</v>
      </c>
      <c r="G313" s="11">
        <v>4</v>
      </c>
      <c r="H313" s="12">
        <v>101.8277065424454</v>
      </c>
      <c r="I313" s="12">
        <v>104.4991542726044</v>
      </c>
      <c r="J313" s="12"/>
      <c r="K313" s="12"/>
      <c r="L313" s="12">
        <v>81.918797141695904</v>
      </c>
      <c r="M313" s="12">
        <v>116.3937204828771</v>
      </c>
      <c r="N313" s="12">
        <v>16.4904928406424</v>
      </c>
      <c r="O313" s="12">
        <v>0.16194504816592889</v>
      </c>
      <c r="P313" s="10" t="s">
        <v>168</v>
      </c>
      <c r="Q313" s="12">
        <v>73.315948710560704</v>
      </c>
      <c r="R313" s="12">
        <v>103.8277065424454</v>
      </c>
    </row>
    <row r="314" spans="1:18" ht="32.1" customHeight="1" x14ac:dyDescent="0.25">
      <c r="A314" s="10" t="s">
        <v>56</v>
      </c>
      <c r="B314" s="10" t="s">
        <v>121</v>
      </c>
      <c r="C314" s="10" t="s">
        <v>70</v>
      </c>
      <c r="D314" s="10" t="s">
        <v>62</v>
      </c>
      <c r="E314" s="10" t="s">
        <v>129</v>
      </c>
      <c r="F314" s="10" t="s">
        <v>167</v>
      </c>
      <c r="G314" s="11">
        <v>2</v>
      </c>
      <c r="H314" s="12">
        <v>99.423328043008993</v>
      </c>
      <c r="I314" s="12">
        <v>99.423328043008993</v>
      </c>
      <c r="J314" s="12"/>
      <c r="K314" s="12"/>
      <c r="L314" s="12">
        <v>80.013370430672452</v>
      </c>
      <c r="M314" s="12">
        <v>118.83328565534561</v>
      </c>
      <c r="N314" s="12">
        <v>27.449825300453249</v>
      </c>
      <c r="O314" s="12">
        <v>0.27609038885299508</v>
      </c>
      <c r="P314" s="10" t="s">
        <v>168</v>
      </c>
      <c r="Q314" s="12">
        <v>71.584796190966472</v>
      </c>
      <c r="R314" s="12">
        <v>101.42332804300899</v>
      </c>
    </row>
    <row r="315" spans="1:18" ht="32.1" customHeight="1" x14ac:dyDescent="0.25">
      <c r="A315" s="10" t="s">
        <v>56</v>
      </c>
      <c r="B315" s="10" t="s">
        <v>121</v>
      </c>
      <c r="C315" s="10" t="s">
        <v>70</v>
      </c>
      <c r="D315" s="10" t="s">
        <v>63</v>
      </c>
      <c r="E315" s="10" t="s">
        <v>126</v>
      </c>
      <c r="F315" s="10" t="s">
        <v>170</v>
      </c>
      <c r="G315" s="11">
        <v>1</v>
      </c>
      <c r="H315" s="12">
        <v>1015.7880946330019</v>
      </c>
      <c r="I315" s="12">
        <v>1015.7880946330019</v>
      </c>
      <c r="J315" s="12"/>
      <c r="K315" s="12"/>
      <c r="L315" s="12">
        <v>1015.7880946330019</v>
      </c>
      <c r="M315" s="12">
        <v>1015.7880946330019</v>
      </c>
      <c r="N315" s="12"/>
      <c r="O315" s="12"/>
      <c r="P315" s="10" t="s">
        <v>168</v>
      </c>
      <c r="Q315" s="12">
        <v>731.3674281357612</v>
      </c>
      <c r="R315" s="12">
        <v>1017.7880946330019</v>
      </c>
    </row>
    <row r="316" spans="1:18" ht="32.1" customHeight="1" x14ac:dyDescent="0.25">
      <c r="A316" s="10" t="s">
        <v>56</v>
      </c>
      <c r="B316" s="10" t="s">
        <v>121</v>
      </c>
      <c r="C316" s="10" t="s">
        <v>70</v>
      </c>
      <c r="D316" s="10" t="s">
        <v>63</v>
      </c>
      <c r="E316" s="10" t="s">
        <v>126</v>
      </c>
      <c r="F316" s="10" t="s">
        <v>167</v>
      </c>
      <c r="G316" s="11">
        <v>13</v>
      </c>
      <c r="H316" s="12">
        <v>30.627839495151161</v>
      </c>
      <c r="I316" s="12">
        <v>30.67584863814686</v>
      </c>
      <c r="J316" s="12"/>
      <c r="K316" s="12"/>
      <c r="L316" s="12">
        <v>12.382653018093061</v>
      </c>
      <c r="M316" s="12">
        <v>53.024056375120182</v>
      </c>
      <c r="N316" s="12">
        <v>11.50572117027377</v>
      </c>
      <c r="O316" s="12">
        <v>0.37566218707967619</v>
      </c>
      <c r="P316" s="10" t="s">
        <v>168</v>
      </c>
      <c r="Q316" s="12">
        <v>22.05204443650883</v>
      </c>
      <c r="R316" s="12">
        <v>32.627839495151157</v>
      </c>
    </row>
    <row r="317" spans="1:18" ht="32.1" customHeight="1" x14ac:dyDescent="0.25">
      <c r="A317" s="10" t="s">
        <v>56</v>
      </c>
      <c r="B317" s="10" t="s">
        <v>121</v>
      </c>
      <c r="C317" s="10" t="s">
        <v>70</v>
      </c>
      <c r="D317" s="10" t="s">
        <v>63</v>
      </c>
      <c r="E317" s="10" t="s">
        <v>126</v>
      </c>
      <c r="F317" s="10" t="s">
        <v>169</v>
      </c>
      <c r="G317" s="11">
        <v>1</v>
      </c>
      <c r="H317" s="12">
        <v>35.696929812721031</v>
      </c>
      <c r="I317" s="12">
        <v>35.696929812721031</v>
      </c>
      <c r="J317" s="12"/>
      <c r="K317" s="12"/>
      <c r="L317" s="12">
        <v>35.696929812721031</v>
      </c>
      <c r="M317" s="12">
        <v>35.696929812721031</v>
      </c>
      <c r="N317" s="12"/>
      <c r="O317" s="12"/>
      <c r="P317" s="10" t="s">
        <v>168</v>
      </c>
      <c r="Q317" s="12">
        <v>25.701789465159141</v>
      </c>
      <c r="R317" s="12">
        <v>37.696929812721031</v>
      </c>
    </row>
    <row r="318" spans="1:18" ht="32.1" customHeight="1" x14ac:dyDescent="0.25">
      <c r="A318" s="10" t="s">
        <v>56</v>
      </c>
      <c r="B318" s="10" t="s">
        <v>121</v>
      </c>
      <c r="C318" s="10" t="s">
        <v>70</v>
      </c>
      <c r="D318" s="10" t="s">
        <v>63</v>
      </c>
      <c r="E318" s="10" t="s">
        <v>127</v>
      </c>
      <c r="F318" s="10" t="s">
        <v>167</v>
      </c>
      <c r="G318" s="11">
        <v>16</v>
      </c>
      <c r="H318" s="12">
        <v>35.849658255669183</v>
      </c>
      <c r="I318" s="12">
        <v>32.933466098754067</v>
      </c>
      <c r="J318" s="12"/>
      <c r="K318" s="12"/>
      <c r="L318" s="12">
        <v>10.875018907169</v>
      </c>
      <c r="M318" s="12">
        <v>79.711979315329714</v>
      </c>
      <c r="N318" s="12">
        <v>16.678466433324949</v>
      </c>
      <c r="O318" s="12">
        <v>0.46523362410818692</v>
      </c>
      <c r="P318" s="10" t="s">
        <v>168</v>
      </c>
      <c r="Q318" s="12">
        <v>25.811753944081811</v>
      </c>
      <c r="R318" s="12">
        <v>37.849658255669183</v>
      </c>
    </row>
    <row r="319" spans="1:18" ht="32.1" customHeight="1" x14ac:dyDescent="0.25">
      <c r="A319" s="10" t="s">
        <v>56</v>
      </c>
      <c r="B319" s="10" t="s">
        <v>121</v>
      </c>
      <c r="C319" s="10" t="s">
        <v>70</v>
      </c>
      <c r="D319" s="10" t="s">
        <v>63</v>
      </c>
      <c r="E319" s="10" t="s">
        <v>128</v>
      </c>
      <c r="F319" s="10" t="s">
        <v>170</v>
      </c>
      <c r="G319" s="11">
        <v>1</v>
      </c>
      <c r="H319" s="12">
        <v>820.67300212418218</v>
      </c>
      <c r="I319" s="12">
        <v>820.67300212418218</v>
      </c>
      <c r="J319" s="12"/>
      <c r="K319" s="12"/>
      <c r="L319" s="12">
        <v>820.67300212418218</v>
      </c>
      <c r="M319" s="12">
        <v>820.67300212418218</v>
      </c>
      <c r="N319" s="12"/>
      <c r="O319" s="12"/>
      <c r="P319" s="10" t="s">
        <v>168</v>
      </c>
      <c r="Q319" s="12">
        <v>590.88456152941114</v>
      </c>
      <c r="R319" s="12">
        <v>822.67300212418218</v>
      </c>
    </row>
    <row r="320" spans="1:18" ht="32.1" customHeight="1" x14ac:dyDescent="0.25">
      <c r="A320" s="10" t="s">
        <v>56</v>
      </c>
      <c r="B320" s="10" t="s">
        <v>121</v>
      </c>
      <c r="C320" s="10" t="s">
        <v>70</v>
      </c>
      <c r="D320" s="10" t="s">
        <v>63</v>
      </c>
      <c r="E320" s="10" t="s">
        <v>128</v>
      </c>
      <c r="F320" s="10" t="s">
        <v>167</v>
      </c>
      <c r="G320" s="11">
        <v>7</v>
      </c>
      <c r="H320" s="12">
        <v>46.261247932941842</v>
      </c>
      <c r="I320" s="12">
        <v>42.706824000602502</v>
      </c>
      <c r="J320" s="12"/>
      <c r="K320" s="12"/>
      <c r="L320" s="12">
        <v>27.161267014917701</v>
      </c>
      <c r="M320" s="12">
        <v>66.559133304802316</v>
      </c>
      <c r="N320" s="12">
        <v>13.19178201588932</v>
      </c>
      <c r="O320" s="12">
        <v>0.28515836916054482</v>
      </c>
      <c r="P320" s="10" t="s">
        <v>168</v>
      </c>
      <c r="Q320" s="12">
        <v>33.887283587581742</v>
      </c>
      <c r="R320" s="12">
        <v>48.261247932941842</v>
      </c>
    </row>
    <row r="321" spans="1:18" ht="32.1" customHeight="1" x14ac:dyDescent="0.25">
      <c r="A321" s="10" t="s">
        <v>56</v>
      </c>
      <c r="B321" s="10" t="s">
        <v>121</v>
      </c>
      <c r="C321" s="10" t="s">
        <v>70</v>
      </c>
      <c r="D321" s="10" t="s">
        <v>63</v>
      </c>
      <c r="E321" s="10" t="s">
        <v>128</v>
      </c>
      <c r="F321" s="10" t="s">
        <v>169</v>
      </c>
      <c r="G321" s="11">
        <v>1</v>
      </c>
      <c r="H321" s="12">
        <v>42.560213465867037</v>
      </c>
      <c r="I321" s="12">
        <v>42.560213465867037</v>
      </c>
      <c r="J321" s="12"/>
      <c r="K321" s="12"/>
      <c r="L321" s="12">
        <v>42.560213465867037</v>
      </c>
      <c r="M321" s="12">
        <v>42.560213465867037</v>
      </c>
      <c r="N321" s="12"/>
      <c r="O321" s="12"/>
      <c r="P321" s="10" t="s">
        <v>168</v>
      </c>
      <c r="Q321" s="12">
        <v>30.64335369542427</v>
      </c>
      <c r="R321" s="12">
        <v>44.560213465867037</v>
      </c>
    </row>
    <row r="322" spans="1:18" ht="32.1" customHeight="1" x14ac:dyDescent="0.25">
      <c r="A322" s="10" t="s">
        <v>56</v>
      </c>
      <c r="B322" s="10" t="s">
        <v>121</v>
      </c>
      <c r="C322" s="10" t="s">
        <v>70</v>
      </c>
      <c r="D322" s="10" t="s">
        <v>63</v>
      </c>
      <c r="E322" s="10" t="s">
        <v>129</v>
      </c>
      <c r="F322" s="10" t="s">
        <v>167</v>
      </c>
      <c r="G322" s="11">
        <v>11</v>
      </c>
      <c r="H322" s="12">
        <v>32.318260961668223</v>
      </c>
      <c r="I322" s="12">
        <v>32.44116730086931</v>
      </c>
      <c r="J322" s="12"/>
      <c r="K322" s="12"/>
      <c r="L322" s="12">
        <v>16.131262258106521</v>
      </c>
      <c r="M322" s="12">
        <v>52.57740022557104</v>
      </c>
      <c r="N322" s="12">
        <v>11.37847962150834</v>
      </c>
      <c r="O322" s="12">
        <v>0.3520758630857036</v>
      </c>
      <c r="P322" s="10" t="s">
        <v>168</v>
      </c>
      <c r="Q322" s="12">
        <v>23.269147892401129</v>
      </c>
      <c r="R322" s="12">
        <v>34.318260961668223</v>
      </c>
    </row>
    <row r="323" spans="1:18" ht="32.1" customHeight="1" x14ac:dyDescent="0.25">
      <c r="A323" s="10" t="s">
        <v>56</v>
      </c>
      <c r="B323" s="10" t="s">
        <v>121</v>
      </c>
      <c r="C323" s="10" t="s">
        <v>70</v>
      </c>
      <c r="D323" s="10" t="s">
        <v>63</v>
      </c>
      <c r="E323" s="10" t="s">
        <v>129</v>
      </c>
      <c r="F323" s="10" t="s">
        <v>169</v>
      </c>
      <c r="G323" s="11">
        <v>3</v>
      </c>
      <c r="H323" s="12">
        <v>39.390467912573463</v>
      </c>
      <c r="I323" s="12">
        <v>33.01979546729946</v>
      </c>
      <c r="J323" s="12"/>
      <c r="K323" s="12"/>
      <c r="L323" s="12">
        <v>24.231045112518611</v>
      </c>
      <c r="M323" s="12">
        <v>60.920563157902322</v>
      </c>
      <c r="N323" s="12">
        <v>19.15644236684788</v>
      </c>
      <c r="O323" s="12">
        <v>0.48632177737429522</v>
      </c>
      <c r="P323" s="10" t="s">
        <v>168</v>
      </c>
      <c r="Q323" s="12">
        <v>28.361136897052891</v>
      </c>
      <c r="R323" s="12">
        <v>41.390467912573463</v>
      </c>
    </row>
    <row r="324" spans="1:18" ht="32.1" customHeight="1" x14ac:dyDescent="0.25">
      <c r="A324" s="10" t="s">
        <v>56</v>
      </c>
      <c r="B324" s="10" t="s">
        <v>121</v>
      </c>
      <c r="C324" s="10" t="s">
        <v>70</v>
      </c>
      <c r="D324" s="10" t="s">
        <v>63</v>
      </c>
      <c r="E324" s="10" t="s">
        <v>130</v>
      </c>
      <c r="F324" s="10" t="s">
        <v>170</v>
      </c>
      <c r="G324" s="11">
        <v>1</v>
      </c>
      <c r="H324" s="12">
        <v>512.62233155529213</v>
      </c>
      <c r="I324" s="12">
        <v>512.62233155529213</v>
      </c>
      <c r="J324" s="12"/>
      <c r="K324" s="12"/>
      <c r="L324" s="12">
        <v>512.62233155529213</v>
      </c>
      <c r="M324" s="12">
        <v>512.62233155529213</v>
      </c>
      <c r="N324" s="12"/>
      <c r="O324" s="12"/>
      <c r="P324" s="10" t="s">
        <v>168</v>
      </c>
      <c r="Q324" s="12">
        <v>369.08807871981031</v>
      </c>
      <c r="R324" s="12">
        <v>514.62233155529213</v>
      </c>
    </row>
    <row r="325" spans="1:18" ht="32.1" customHeight="1" x14ac:dyDescent="0.25">
      <c r="A325" s="10" t="s">
        <v>56</v>
      </c>
      <c r="B325" s="10" t="s">
        <v>121</v>
      </c>
      <c r="C325" s="10" t="s">
        <v>70</v>
      </c>
      <c r="D325" s="10" t="s">
        <v>63</v>
      </c>
      <c r="E325" s="10" t="s">
        <v>130</v>
      </c>
      <c r="F325" s="10" t="s">
        <v>167</v>
      </c>
      <c r="G325" s="11">
        <v>13</v>
      </c>
      <c r="H325" s="12">
        <v>36.246943539533312</v>
      </c>
      <c r="I325" s="12">
        <v>34.790106950339428</v>
      </c>
      <c r="J325" s="12"/>
      <c r="K325" s="12"/>
      <c r="L325" s="12">
        <v>13.32385331118439</v>
      </c>
      <c r="M325" s="12">
        <v>64.299481802313252</v>
      </c>
      <c r="N325" s="12">
        <v>13.728919780190241</v>
      </c>
      <c r="O325" s="12">
        <v>0.37876075717161017</v>
      </c>
      <c r="P325" s="10" t="s">
        <v>168</v>
      </c>
      <c r="Q325" s="12">
        <v>26.09779934846398</v>
      </c>
      <c r="R325" s="12">
        <v>38.246943539533312</v>
      </c>
    </row>
    <row r="326" spans="1:18" ht="32.1" customHeight="1" x14ac:dyDescent="0.25">
      <c r="A326" s="10" t="s">
        <v>56</v>
      </c>
      <c r="B326" s="10" t="s">
        <v>121</v>
      </c>
      <c r="C326" s="10" t="s">
        <v>70</v>
      </c>
      <c r="D326" s="10" t="s">
        <v>63</v>
      </c>
      <c r="E326" s="10" t="s">
        <v>130</v>
      </c>
      <c r="F326" s="10" t="s">
        <v>169</v>
      </c>
      <c r="G326" s="11">
        <v>1</v>
      </c>
      <c r="H326" s="12">
        <v>74.269101005388166</v>
      </c>
      <c r="I326" s="12">
        <v>74.269101005388166</v>
      </c>
      <c r="J326" s="12"/>
      <c r="K326" s="12"/>
      <c r="L326" s="12">
        <v>74.269101005388166</v>
      </c>
      <c r="M326" s="12">
        <v>74.269101005388166</v>
      </c>
      <c r="N326" s="12"/>
      <c r="O326" s="12"/>
      <c r="P326" s="10" t="s">
        <v>168</v>
      </c>
      <c r="Q326" s="12">
        <v>53.473752723879478</v>
      </c>
      <c r="R326" s="12">
        <v>76.269101005388166</v>
      </c>
    </row>
    <row r="327" spans="1:18" ht="32.1" customHeight="1" x14ac:dyDescent="0.25">
      <c r="A327" s="10" t="s">
        <v>56</v>
      </c>
      <c r="B327" s="10" t="s">
        <v>121</v>
      </c>
      <c r="C327" s="10" t="s">
        <v>70</v>
      </c>
      <c r="D327" s="10" t="s">
        <v>64</v>
      </c>
      <c r="E327" s="10" t="s">
        <v>126</v>
      </c>
      <c r="F327" s="10" t="s">
        <v>167</v>
      </c>
      <c r="G327" s="11">
        <v>5</v>
      </c>
      <c r="H327" s="12">
        <v>50.746438262103688</v>
      </c>
      <c r="I327" s="12">
        <v>41.812653441931239</v>
      </c>
      <c r="J327" s="12"/>
      <c r="K327" s="12"/>
      <c r="L327" s="12">
        <v>26.743403235960031</v>
      </c>
      <c r="M327" s="12">
        <v>115.641894617792</v>
      </c>
      <c r="N327" s="12">
        <v>37.057941593516126</v>
      </c>
      <c r="O327" s="12">
        <v>0.7302569966016742</v>
      </c>
      <c r="P327" s="10" t="s">
        <v>168</v>
      </c>
      <c r="Q327" s="12">
        <v>36.537435548714662</v>
      </c>
      <c r="R327" s="12">
        <v>52.746438262103688</v>
      </c>
    </row>
    <row r="328" spans="1:18" ht="32.1" customHeight="1" x14ac:dyDescent="0.25">
      <c r="A328" s="10" t="s">
        <v>56</v>
      </c>
      <c r="B328" s="10" t="s">
        <v>121</v>
      </c>
      <c r="C328" s="10" t="s">
        <v>70</v>
      </c>
      <c r="D328" s="10" t="s">
        <v>64</v>
      </c>
      <c r="E328" s="10" t="s">
        <v>127</v>
      </c>
      <c r="F328" s="10" t="s">
        <v>167</v>
      </c>
      <c r="G328" s="11">
        <v>3</v>
      </c>
      <c r="H328" s="12">
        <v>49.471616273733012</v>
      </c>
      <c r="I328" s="12">
        <v>46.705733228213518</v>
      </c>
      <c r="J328" s="12"/>
      <c r="K328" s="12"/>
      <c r="L328" s="12">
        <v>35.129050386256012</v>
      </c>
      <c r="M328" s="12">
        <v>66.580065206729515</v>
      </c>
      <c r="N328" s="12">
        <v>15.906890490461359</v>
      </c>
      <c r="O328" s="12">
        <v>0.32153569437566842</v>
      </c>
      <c r="P328" s="10" t="s">
        <v>168</v>
      </c>
      <c r="Q328" s="12">
        <v>36.615281613474792</v>
      </c>
      <c r="R328" s="12">
        <v>51.471616273733012</v>
      </c>
    </row>
    <row r="329" spans="1:18" ht="32.1" customHeight="1" x14ac:dyDescent="0.25">
      <c r="A329" s="10" t="s">
        <v>56</v>
      </c>
      <c r="B329" s="10" t="s">
        <v>121</v>
      </c>
      <c r="C329" s="10" t="s">
        <v>70</v>
      </c>
      <c r="D329" s="10" t="s">
        <v>64</v>
      </c>
      <c r="E329" s="10" t="s">
        <v>127</v>
      </c>
      <c r="F329" s="10" t="s">
        <v>169</v>
      </c>
      <c r="G329" s="11">
        <v>1</v>
      </c>
      <c r="H329" s="12">
        <v>39.97397912922456</v>
      </c>
      <c r="I329" s="12">
        <v>39.97397912922456</v>
      </c>
      <c r="J329" s="12"/>
      <c r="K329" s="12"/>
      <c r="L329" s="12">
        <v>39.97397912922456</v>
      </c>
      <c r="M329" s="12">
        <v>39.97397912922456</v>
      </c>
      <c r="N329" s="12"/>
      <c r="O329" s="12"/>
      <c r="P329" s="10" t="s">
        <v>168</v>
      </c>
      <c r="Q329" s="12">
        <v>28.781264973041679</v>
      </c>
      <c r="R329" s="12">
        <v>41.97397912922456</v>
      </c>
    </row>
    <row r="330" spans="1:18" ht="32.1" customHeight="1" x14ac:dyDescent="0.25">
      <c r="A330" s="10" t="s">
        <v>56</v>
      </c>
      <c r="B330" s="10" t="s">
        <v>121</v>
      </c>
      <c r="C330" s="10" t="s">
        <v>70</v>
      </c>
      <c r="D330" s="10" t="s">
        <v>64</v>
      </c>
      <c r="E330" s="10" t="s">
        <v>128</v>
      </c>
      <c r="F330" s="10" t="s">
        <v>167</v>
      </c>
      <c r="G330" s="11">
        <v>8</v>
      </c>
      <c r="H330" s="12">
        <v>46.952473572250341</v>
      </c>
      <c r="I330" s="12">
        <v>46.659453653813152</v>
      </c>
      <c r="J330" s="12"/>
      <c r="K330" s="12"/>
      <c r="L330" s="12">
        <v>24.818036154755571</v>
      </c>
      <c r="M330" s="12">
        <v>88.37727584197593</v>
      </c>
      <c r="N330" s="12">
        <v>19.434626888019441</v>
      </c>
      <c r="O330" s="12">
        <v>0.413921257164726</v>
      </c>
      <c r="P330" s="10" t="s">
        <v>168</v>
      </c>
      <c r="Q330" s="12">
        <v>33.805780972020237</v>
      </c>
      <c r="R330" s="12">
        <v>48.952473572250341</v>
      </c>
    </row>
    <row r="331" spans="1:18" ht="32.1" customHeight="1" x14ac:dyDescent="0.25">
      <c r="A331" s="10" t="s">
        <v>56</v>
      </c>
      <c r="B331" s="10" t="s">
        <v>121</v>
      </c>
      <c r="C331" s="10" t="s">
        <v>70</v>
      </c>
      <c r="D331" s="10" t="s">
        <v>64</v>
      </c>
      <c r="E331" s="10" t="s">
        <v>129</v>
      </c>
      <c r="F331" s="10" t="s">
        <v>170</v>
      </c>
      <c r="G331" s="11">
        <v>1</v>
      </c>
      <c r="H331" s="12">
        <v>775.8007679730315</v>
      </c>
      <c r="I331" s="12">
        <v>775.8007679730315</v>
      </c>
      <c r="J331" s="12"/>
      <c r="K331" s="12"/>
      <c r="L331" s="12">
        <v>775.8007679730315</v>
      </c>
      <c r="M331" s="12">
        <v>775.8007679730315</v>
      </c>
      <c r="N331" s="12"/>
      <c r="O331" s="12"/>
      <c r="P331" s="10" t="s">
        <v>168</v>
      </c>
      <c r="Q331" s="12">
        <v>558.5765529405827</v>
      </c>
      <c r="R331" s="12">
        <v>777.8007679730315</v>
      </c>
    </row>
    <row r="332" spans="1:18" ht="32.1" customHeight="1" x14ac:dyDescent="0.25">
      <c r="A332" s="10" t="s">
        <v>56</v>
      </c>
      <c r="B332" s="10" t="s">
        <v>121</v>
      </c>
      <c r="C332" s="10" t="s">
        <v>70</v>
      </c>
      <c r="D332" s="10" t="s">
        <v>64</v>
      </c>
      <c r="E332" s="10" t="s">
        <v>129</v>
      </c>
      <c r="F332" s="10" t="s">
        <v>167</v>
      </c>
      <c r="G332" s="11">
        <v>4</v>
      </c>
      <c r="H332" s="12">
        <v>64.234107732273728</v>
      </c>
      <c r="I332" s="12">
        <v>61.137864725213753</v>
      </c>
      <c r="J332" s="12"/>
      <c r="K332" s="12"/>
      <c r="L332" s="12">
        <v>49.938488135257373</v>
      </c>
      <c r="M332" s="12">
        <v>84.722213343410019</v>
      </c>
      <c r="N332" s="12">
        <v>15.159526620235489</v>
      </c>
      <c r="O332" s="12">
        <v>0.23600431539300029</v>
      </c>
      <c r="P332" s="10" t="s">
        <v>168</v>
      </c>
      <c r="Q332" s="12">
        <v>45.838992463265718</v>
      </c>
      <c r="R332" s="12">
        <v>66.234107732273728</v>
      </c>
    </row>
    <row r="333" spans="1:18" ht="32.1" customHeight="1" x14ac:dyDescent="0.25">
      <c r="A333" s="10" t="s">
        <v>56</v>
      </c>
      <c r="B333" s="10" t="s">
        <v>121</v>
      </c>
      <c r="C333" s="10" t="s">
        <v>70</v>
      </c>
      <c r="D333" s="10" t="s">
        <v>64</v>
      </c>
      <c r="E333" s="10" t="s">
        <v>130</v>
      </c>
      <c r="F333" s="10" t="s">
        <v>167</v>
      </c>
      <c r="G333" s="11">
        <v>6</v>
      </c>
      <c r="H333" s="12">
        <v>57.813450722513167</v>
      </c>
      <c r="I333" s="12">
        <v>49.736468512507628</v>
      </c>
      <c r="J333" s="12"/>
      <c r="K333" s="12"/>
      <c r="L333" s="12">
        <v>36.141536710381729</v>
      </c>
      <c r="M333" s="12">
        <v>113.8403902122092</v>
      </c>
      <c r="N333" s="12">
        <v>28.337316549094758</v>
      </c>
      <c r="O333" s="12">
        <v>0.49015092845962749</v>
      </c>
      <c r="P333" s="10" t="s">
        <v>168</v>
      </c>
      <c r="Q333" s="12">
        <v>41.625684520209482</v>
      </c>
      <c r="R333" s="12">
        <v>59.813450722513167</v>
      </c>
    </row>
    <row r="334" spans="1:18" ht="32.1" customHeight="1" x14ac:dyDescent="0.25">
      <c r="A334" s="10" t="s">
        <v>56</v>
      </c>
      <c r="B334" s="10" t="s">
        <v>121</v>
      </c>
      <c r="C334" s="10" t="s">
        <v>3</v>
      </c>
      <c r="D334" s="10" t="s">
        <v>62</v>
      </c>
      <c r="E334" s="10" t="s">
        <v>131</v>
      </c>
      <c r="F334" s="10" t="s">
        <v>167</v>
      </c>
      <c r="G334" s="11">
        <v>88</v>
      </c>
      <c r="H334" s="12">
        <v>139.70479800440981</v>
      </c>
      <c r="I334" s="12">
        <v>128.99196224101581</v>
      </c>
      <c r="J334" s="12">
        <v>228.5940154729615</v>
      </c>
      <c r="K334" s="12"/>
      <c r="L334" s="12">
        <v>53.431546808435193</v>
      </c>
      <c r="M334" s="12">
        <v>324.85288527092672</v>
      </c>
      <c r="N334" s="12">
        <v>49.263101962297682</v>
      </c>
      <c r="O334" s="12">
        <v>0.35262283519240811</v>
      </c>
      <c r="P334" s="10" t="s">
        <v>168</v>
      </c>
      <c r="Q334" s="12">
        <v>100.5874545631751</v>
      </c>
      <c r="R334" s="12">
        <v>141.70479800440981</v>
      </c>
    </row>
    <row r="335" spans="1:18" ht="32.1" customHeight="1" x14ac:dyDescent="0.25">
      <c r="A335" s="10" t="s">
        <v>56</v>
      </c>
      <c r="B335" s="10" t="s">
        <v>121</v>
      </c>
      <c r="C335" s="10" t="s">
        <v>3</v>
      </c>
      <c r="D335" s="10" t="s">
        <v>62</v>
      </c>
      <c r="E335" s="10" t="s">
        <v>131</v>
      </c>
      <c r="F335" s="10" t="s">
        <v>169</v>
      </c>
      <c r="G335" s="11">
        <v>3</v>
      </c>
      <c r="H335" s="12">
        <v>78.753621199901986</v>
      </c>
      <c r="I335" s="12">
        <v>77.625596507647984</v>
      </c>
      <c r="J335" s="12"/>
      <c r="K335" s="12"/>
      <c r="L335" s="12">
        <v>70.149012841375381</v>
      </c>
      <c r="M335" s="12">
        <v>88.486254250682563</v>
      </c>
      <c r="N335" s="12">
        <v>9.2205170899225362</v>
      </c>
      <c r="O335" s="12">
        <v>0.1170805475283213</v>
      </c>
      <c r="P335" s="10" t="s">
        <v>168</v>
      </c>
      <c r="Q335" s="12">
        <v>56.702607263929423</v>
      </c>
      <c r="R335" s="12">
        <v>80.753621199901986</v>
      </c>
    </row>
    <row r="336" spans="1:18" ht="32.1" customHeight="1" x14ac:dyDescent="0.25">
      <c r="A336" s="10" t="s">
        <v>56</v>
      </c>
      <c r="B336" s="10" t="s">
        <v>121</v>
      </c>
      <c r="C336" s="10" t="s">
        <v>3</v>
      </c>
      <c r="D336" s="10" t="s">
        <v>62</v>
      </c>
      <c r="E336" s="10" t="s">
        <v>132</v>
      </c>
      <c r="F336" s="10" t="s">
        <v>167</v>
      </c>
      <c r="G336" s="11">
        <v>97</v>
      </c>
      <c r="H336" s="12">
        <v>121.7688168675071</v>
      </c>
      <c r="I336" s="12">
        <v>116.4853869867845</v>
      </c>
      <c r="J336" s="12">
        <v>195.3541434159778</v>
      </c>
      <c r="K336" s="12"/>
      <c r="L336" s="12">
        <v>42.356028152167227</v>
      </c>
      <c r="M336" s="12">
        <v>222.49892046712301</v>
      </c>
      <c r="N336" s="12">
        <v>39.416055071613343</v>
      </c>
      <c r="O336" s="12">
        <v>0.32369580394708708</v>
      </c>
      <c r="P336" s="10" t="s">
        <v>168</v>
      </c>
      <c r="Q336" s="12">
        <v>87.785358979919593</v>
      </c>
      <c r="R336" s="12">
        <v>123.7688168675071</v>
      </c>
    </row>
    <row r="337" spans="1:18" ht="32.1" customHeight="1" x14ac:dyDescent="0.25">
      <c r="A337" s="10" t="s">
        <v>56</v>
      </c>
      <c r="B337" s="10" t="s">
        <v>121</v>
      </c>
      <c r="C337" s="10" t="s">
        <v>3</v>
      </c>
      <c r="D337" s="10" t="s">
        <v>62</v>
      </c>
      <c r="E337" s="10" t="s">
        <v>132</v>
      </c>
      <c r="F337" s="10" t="s">
        <v>169</v>
      </c>
      <c r="G337" s="11">
        <v>6</v>
      </c>
      <c r="H337" s="12">
        <v>122.95762215074809</v>
      </c>
      <c r="I337" s="12">
        <v>115.6284086042746</v>
      </c>
      <c r="J337" s="12"/>
      <c r="K337" s="12"/>
      <c r="L337" s="12">
        <v>96.111963526672696</v>
      </c>
      <c r="M337" s="12">
        <v>157.43121299831051</v>
      </c>
      <c r="N337" s="12">
        <v>26.72721639438949</v>
      </c>
      <c r="O337" s="12">
        <v>0.21736933365238209</v>
      </c>
      <c r="P337" s="10" t="s">
        <v>168</v>
      </c>
      <c r="Q337" s="12">
        <v>83.565290866489661</v>
      </c>
      <c r="R337" s="12">
        <v>124.95762215074809</v>
      </c>
    </row>
    <row r="338" spans="1:18" ht="32.1" customHeight="1" x14ac:dyDescent="0.25">
      <c r="A338" s="10" t="s">
        <v>56</v>
      </c>
      <c r="B338" s="10" t="s">
        <v>121</v>
      </c>
      <c r="C338" s="10" t="s">
        <v>3</v>
      </c>
      <c r="D338" s="10" t="s">
        <v>62</v>
      </c>
      <c r="E338" s="10" t="s">
        <v>133</v>
      </c>
      <c r="F338" s="10" t="s">
        <v>167</v>
      </c>
      <c r="G338" s="11">
        <v>78</v>
      </c>
      <c r="H338" s="12">
        <v>102.8107868725682</v>
      </c>
      <c r="I338" s="12">
        <v>92.098506143506441</v>
      </c>
      <c r="J338" s="12">
        <v>192.2301810002148</v>
      </c>
      <c r="K338" s="12"/>
      <c r="L338" s="12">
        <v>27.070554949500941</v>
      </c>
      <c r="M338" s="12">
        <v>270.96960342032958</v>
      </c>
      <c r="N338" s="12">
        <v>44.128558453702368</v>
      </c>
      <c r="O338" s="12">
        <v>0.42922109436239181</v>
      </c>
      <c r="P338" s="10" t="s">
        <v>168</v>
      </c>
      <c r="Q338" s="12">
        <v>74.320238991096801</v>
      </c>
      <c r="R338" s="12">
        <v>104.8107868725682</v>
      </c>
    </row>
    <row r="339" spans="1:18" ht="32.1" customHeight="1" x14ac:dyDescent="0.25">
      <c r="A339" s="10" t="s">
        <v>56</v>
      </c>
      <c r="B339" s="10" t="s">
        <v>121</v>
      </c>
      <c r="C339" s="10" t="s">
        <v>3</v>
      </c>
      <c r="D339" s="10" t="s">
        <v>62</v>
      </c>
      <c r="E339" s="10" t="s">
        <v>133</v>
      </c>
      <c r="F339" s="10" t="s">
        <v>169</v>
      </c>
      <c r="G339" s="11">
        <v>5</v>
      </c>
      <c r="H339" s="12">
        <v>115.9571190703797</v>
      </c>
      <c r="I339" s="12">
        <v>129.83826539432479</v>
      </c>
      <c r="J339" s="12"/>
      <c r="K339" s="12"/>
      <c r="L339" s="12">
        <v>65.957306206844194</v>
      </c>
      <c r="M339" s="12">
        <v>159.38232101879919</v>
      </c>
      <c r="N339" s="12">
        <v>45.208056251767047</v>
      </c>
      <c r="O339" s="12">
        <v>0.38986874298186203</v>
      </c>
      <c r="P339" s="10" t="s">
        <v>168</v>
      </c>
      <c r="Q339" s="12">
        <v>80.990519392363296</v>
      </c>
      <c r="R339" s="12">
        <v>117.9571190703797</v>
      </c>
    </row>
    <row r="340" spans="1:18" ht="32.1" customHeight="1" x14ac:dyDescent="0.25">
      <c r="A340" s="10" t="s">
        <v>56</v>
      </c>
      <c r="B340" s="10" t="s">
        <v>121</v>
      </c>
      <c r="C340" s="10" t="s">
        <v>3</v>
      </c>
      <c r="D340" s="10" t="s">
        <v>62</v>
      </c>
      <c r="E340" s="10" t="s">
        <v>134</v>
      </c>
      <c r="F340" s="10" t="s">
        <v>167</v>
      </c>
      <c r="G340" s="11">
        <v>80</v>
      </c>
      <c r="H340" s="12">
        <v>130.03764195716869</v>
      </c>
      <c r="I340" s="12">
        <v>113.7315159883122</v>
      </c>
      <c r="J340" s="12">
        <v>228.2124694699871</v>
      </c>
      <c r="K340" s="12"/>
      <c r="L340" s="12">
        <v>38.68887152497355</v>
      </c>
      <c r="M340" s="12">
        <v>1166.5825315345</v>
      </c>
      <c r="N340" s="12">
        <v>126.46848342915681</v>
      </c>
      <c r="O340" s="12">
        <v>0.97255288180950317</v>
      </c>
      <c r="P340" s="10" t="s">
        <v>168</v>
      </c>
      <c r="Q340" s="12">
        <v>94.718346507838504</v>
      </c>
      <c r="R340" s="12">
        <v>132.03764195716869</v>
      </c>
    </row>
    <row r="341" spans="1:18" ht="32.1" customHeight="1" x14ac:dyDescent="0.25">
      <c r="A341" s="10" t="s">
        <v>56</v>
      </c>
      <c r="B341" s="10" t="s">
        <v>121</v>
      </c>
      <c r="C341" s="10" t="s">
        <v>3</v>
      </c>
      <c r="D341" s="10" t="s">
        <v>62</v>
      </c>
      <c r="E341" s="10" t="s">
        <v>134</v>
      </c>
      <c r="F341" s="10" t="s">
        <v>169</v>
      </c>
      <c r="G341" s="11">
        <v>4</v>
      </c>
      <c r="H341" s="12">
        <v>148.19744707191421</v>
      </c>
      <c r="I341" s="12">
        <v>155.29097350155439</v>
      </c>
      <c r="J341" s="12"/>
      <c r="K341" s="12"/>
      <c r="L341" s="12">
        <v>85.764130304457581</v>
      </c>
      <c r="M341" s="12">
        <v>196.4437109800902</v>
      </c>
      <c r="N341" s="12">
        <v>48.179505657879247</v>
      </c>
      <c r="O341" s="12">
        <v>0.32510347924212019</v>
      </c>
      <c r="P341" s="10" t="s">
        <v>168</v>
      </c>
      <c r="Q341" s="12">
        <v>106.7021618917782</v>
      </c>
      <c r="R341" s="12">
        <v>150.1974470719141</v>
      </c>
    </row>
    <row r="342" spans="1:18" ht="32.1" customHeight="1" x14ac:dyDescent="0.25">
      <c r="A342" s="10" t="s">
        <v>56</v>
      </c>
      <c r="B342" s="10" t="s">
        <v>121</v>
      </c>
      <c r="C342" s="10" t="s">
        <v>3</v>
      </c>
      <c r="D342" s="10" t="s">
        <v>62</v>
      </c>
      <c r="E342" s="10" t="s">
        <v>135</v>
      </c>
      <c r="F342" s="10" t="s">
        <v>167</v>
      </c>
      <c r="G342" s="11">
        <v>96</v>
      </c>
      <c r="H342" s="12">
        <v>128.79290847208631</v>
      </c>
      <c r="I342" s="12">
        <v>118.9311378171094</v>
      </c>
      <c r="J342" s="12">
        <v>223.770461825323</v>
      </c>
      <c r="K342" s="12"/>
      <c r="L342" s="12">
        <v>54.310818157408129</v>
      </c>
      <c r="M342" s="12">
        <v>317.44525354136022</v>
      </c>
      <c r="N342" s="12">
        <v>47.243509226376119</v>
      </c>
      <c r="O342" s="12">
        <v>0.3668176282905774</v>
      </c>
      <c r="P342" s="10" t="s">
        <v>168</v>
      </c>
      <c r="Q342" s="12">
        <v>93.155347797804637</v>
      </c>
      <c r="R342" s="12">
        <v>130.79290847208631</v>
      </c>
    </row>
    <row r="343" spans="1:18" ht="32.1" customHeight="1" x14ac:dyDescent="0.25">
      <c r="A343" s="10" t="s">
        <v>56</v>
      </c>
      <c r="B343" s="10" t="s">
        <v>121</v>
      </c>
      <c r="C343" s="10" t="s">
        <v>3</v>
      </c>
      <c r="D343" s="10" t="s">
        <v>62</v>
      </c>
      <c r="E343" s="10" t="s">
        <v>135</v>
      </c>
      <c r="F343" s="10" t="s">
        <v>169</v>
      </c>
      <c r="G343" s="11">
        <v>4</v>
      </c>
      <c r="H343" s="12">
        <v>132.23431171416681</v>
      </c>
      <c r="I343" s="12">
        <v>113.97375342497349</v>
      </c>
      <c r="J343" s="12"/>
      <c r="K343" s="12"/>
      <c r="L343" s="12">
        <v>87.589643717661062</v>
      </c>
      <c r="M343" s="12">
        <v>213.40009628905929</v>
      </c>
      <c r="N343" s="12">
        <v>56.983781985335597</v>
      </c>
      <c r="O343" s="12">
        <v>0.43093037840670129</v>
      </c>
      <c r="P343" s="10" t="s">
        <v>168</v>
      </c>
      <c r="Q343" s="12">
        <v>95.821147473263039</v>
      </c>
      <c r="R343" s="12">
        <v>134.23431171416681</v>
      </c>
    </row>
    <row r="344" spans="1:18" ht="32.1" customHeight="1" x14ac:dyDescent="0.25">
      <c r="A344" s="10" t="s">
        <v>56</v>
      </c>
      <c r="B344" s="10" t="s">
        <v>121</v>
      </c>
      <c r="C344" s="10" t="s">
        <v>3</v>
      </c>
      <c r="D344" s="10" t="s">
        <v>62</v>
      </c>
      <c r="E344" s="10" t="s">
        <v>136</v>
      </c>
      <c r="F344" s="10" t="s">
        <v>167</v>
      </c>
      <c r="G344" s="11">
        <v>4</v>
      </c>
      <c r="H344" s="12">
        <v>117.1049293974018</v>
      </c>
      <c r="I344" s="12">
        <v>110.2369465022088</v>
      </c>
      <c r="J344" s="12"/>
      <c r="K344" s="12"/>
      <c r="L344" s="12">
        <v>95.237330155654433</v>
      </c>
      <c r="M344" s="12">
        <v>152.70849442953531</v>
      </c>
      <c r="N344" s="12">
        <v>25.351480775203399</v>
      </c>
      <c r="O344" s="12">
        <v>0.2164851719364588</v>
      </c>
      <c r="P344" s="10" t="s">
        <v>168</v>
      </c>
      <c r="Q344" s="12">
        <v>89.56377298414867</v>
      </c>
      <c r="R344" s="12">
        <v>119.1049293974018</v>
      </c>
    </row>
    <row r="345" spans="1:18" ht="32.1" customHeight="1" x14ac:dyDescent="0.25">
      <c r="A345" s="10" t="s">
        <v>56</v>
      </c>
      <c r="B345" s="10" t="s">
        <v>121</v>
      </c>
      <c r="C345" s="10" t="s">
        <v>3</v>
      </c>
      <c r="D345" s="10" t="s">
        <v>62</v>
      </c>
      <c r="E345" s="10" t="s">
        <v>137</v>
      </c>
      <c r="F345" s="10" t="s">
        <v>167</v>
      </c>
      <c r="G345" s="11">
        <v>9</v>
      </c>
      <c r="H345" s="12">
        <v>102.04416180178259</v>
      </c>
      <c r="I345" s="12">
        <v>96.853506789854364</v>
      </c>
      <c r="J345" s="12"/>
      <c r="K345" s="12"/>
      <c r="L345" s="12">
        <v>45.488065522099873</v>
      </c>
      <c r="M345" s="12">
        <v>161.66738546965991</v>
      </c>
      <c r="N345" s="12">
        <v>33.861837381020237</v>
      </c>
      <c r="O345" s="12">
        <v>0.33183512690119121</v>
      </c>
      <c r="P345" s="10" t="s">
        <v>168</v>
      </c>
      <c r="Q345" s="12">
        <v>73.471796497283506</v>
      </c>
      <c r="R345" s="12">
        <v>104.04416180178259</v>
      </c>
    </row>
    <row r="346" spans="1:18" ht="32.1" customHeight="1" x14ac:dyDescent="0.25">
      <c r="A346" s="10" t="s">
        <v>56</v>
      </c>
      <c r="B346" s="10" t="s">
        <v>121</v>
      </c>
      <c r="C346" s="10" t="s">
        <v>3</v>
      </c>
      <c r="D346" s="10" t="s">
        <v>62</v>
      </c>
      <c r="E346" s="10" t="s">
        <v>138</v>
      </c>
      <c r="F346" s="10" t="s">
        <v>167</v>
      </c>
      <c r="G346" s="11">
        <v>3</v>
      </c>
      <c r="H346" s="12">
        <v>90.185050984220524</v>
      </c>
      <c r="I346" s="12">
        <v>79.661701615677572</v>
      </c>
      <c r="J346" s="12"/>
      <c r="K346" s="12"/>
      <c r="L346" s="12">
        <v>64.650813463567431</v>
      </c>
      <c r="M346" s="12">
        <v>126.2426378734165</v>
      </c>
      <c r="N346" s="12">
        <v>32.116099856345123</v>
      </c>
      <c r="O346" s="12">
        <v>0.35611334146680701</v>
      </c>
      <c r="P346" s="10" t="s">
        <v>168</v>
      </c>
      <c r="Q346" s="12">
        <v>64.933236708638773</v>
      </c>
      <c r="R346" s="12">
        <v>92.185050984220496</v>
      </c>
    </row>
    <row r="347" spans="1:18" ht="32.1" customHeight="1" x14ac:dyDescent="0.25">
      <c r="A347" s="10" t="s">
        <v>56</v>
      </c>
      <c r="B347" s="10" t="s">
        <v>121</v>
      </c>
      <c r="C347" s="10" t="s">
        <v>3</v>
      </c>
      <c r="D347" s="10" t="s">
        <v>62</v>
      </c>
      <c r="E347" s="10" t="s">
        <v>139</v>
      </c>
      <c r="F347" s="10" t="s">
        <v>167</v>
      </c>
      <c r="G347" s="11">
        <v>10</v>
      </c>
      <c r="H347" s="12">
        <v>133.397003157764</v>
      </c>
      <c r="I347" s="12">
        <v>124.10779422420229</v>
      </c>
      <c r="J347" s="12"/>
      <c r="K347" s="12"/>
      <c r="L347" s="12">
        <v>81.940705477949464</v>
      </c>
      <c r="M347" s="12">
        <v>264.82491601294367</v>
      </c>
      <c r="N347" s="12">
        <v>54.290140567735953</v>
      </c>
      <c r="O347" s="12">
        <v>0.406981710852446</v>
      </c>
      <c r="P347" s="10" t="s">
        <v>168</v>
      </c>
      <c r="Q347" s="12">
        <v>92.532751854077716</v>
      </c>
      <c r="R347" s="12">
        <v>135.397003157764</v>
      </c>
    </row>
    <row r="348" spans="1:18" ht="32.1" customHeight="1" x14ac:dyDescent="0.25">
      <c r="A348" s="10" t="s">
        <v>56</v>
      </c>
      <c r="B348" s="10" t="s">
        <v>121</v>
      </c>
      <c r="C348" s="10" t="s">
        <v>3</v>
      </c>
      <c r="D348" s="10" t="s">
        <v>62</v>
      </c>
      <c r="E348" s="10" t="s">
        <v>139</v>
      </c>
      <c r="F348" s="10" t="s">
        <v>169</v>
      </c>
      <c r="G348" s="11">
        <v>2</v>
      </c>
      <c r="H348" s="12">
        <v>162.57499363736451</v>
      </c>
      <c r="I348" s="12">
        <v>162.57499363736451</v>
      </c>
      <c r="J348" s="12"/>
      <c r="K348" s="12"/>
      <c r="L348" s="12">
        <v>85.452270565121296</v>
      </c>
      <c r="M348" s="12">
        <v>239.69771670960759</v>
      </c>
      <c r="N348" s="12">
        <v>109.0680009359107</v>
      </c>
      <c r="O348" s="12">
        <v>0.67087808829440843</v>
      </c>
      <c r="P348" s="10" t="s">
        <v>168</v>
      </c>
      <c r="Q348" s="12">
        <v>117.0539954189024</v>
      </c>
      <c r="R348" s="12">
        <v>164.57499363736451</v>
      </c>
    </row>
    <row r="349" spans="1:18" ht="32.1" customHeight="1" x14ac:dyDescent="0.25">
      <c r="A349" s="10" t="s">
        <v>56</v>
      </c>
      <c r="B349" s="10" t="s">
        <v>121</v>
      </c>
      <c r="C349" s="10" t="s">
        <v>3</v>
      </c>
      <c r="D349" s="10" t="s">
        <v>62</v>
      </c>
      <c r="E349" s="10" t="s">
        <v>140</v>
      </c>
      <c r="F349" s="10" t="s">
        <v>167</v>
      </c>
      <c r="G349" s="11">
        <v>6</v>
      </c>
      <c r="H349" s="12">
        <v>92.058256406711919</v>
      </c>
      <c r="I349" s="12">
        <v>87.928628654579768</v>
      </c>
      <c r="J349" s="12"/>
      <c r="K349" s="12"/>
      <c r="L349" s="12">
        <v>56.25142800365343</v>
      </c>
      <c r="M349" s="12">
        <v>134.6450947540732</v>
      </c>
      <c r="N349" s="12">
        <v>27.609643257244091</v>
      </c>
      <c r="O349" s="12">
        <v>0.29991490535368298</v>
      </c>
      <c r="P349" s="10" t="s">
        <v>168</v>
      </c>
      <c r="Q349" s="12">
        <v>66.281944612832589</v>
      </c>
      <c r="R349" s="12">
        <v>94.058256406711919</v>
      </c>
    </row>
    <row r="350" spans="1:18" ht="32.1" customHeight="1" x14ac:dyDescent="0.25">
      <c r="A350" s="10" t="s">
        <v>56</v>
      </c>
      <c r="B350" s="10" t="s">
        <v>121</v>
      </c>
      <c r="C350" s="10" t="s">
        <v>3</v>
      </c>
      <c r="D350" s="10" t="s">
        <v>62</v>
      </c>
      <c r="E350" s="10" t="s">
        <v>141</v>
      </c>
      <c r="F350" s="10" t="s">
        <v>167</v>
      </c>
      <c r="G350" s="11">
        <v>41</v>
      </c>
      <c r="H350" s="12">
        <v>139.07023621698161</v>
      </c>
      <c r="I350" s="12">
        <v>104.4043300803113</v>
      </c>
      <c r="J350" s="12">
        <v>316.00161139994242</v>
      </c>
      <c r="K350" s="12"/>
      <c r="L350" s="12">
        <v>46.304673888641631</v>
      </c>
      <c r="M350" s="12">
        <v>1268.604828660895</v>
      </c>
      <c r="N350" s="12">
        <v>190.02895453584011</v>
      </c>
      <c r="O350" s="12">
        <v>1.3664243313670019</v>
      </c>
      <c r="P350" s="10" t="s">
        <v>168</v>
      </c>
      <c r="Q350" s="12">
        <v>101.0477797652299</v>
      </c>
      <c r="R350" s="12">
        <v>141.07023621698161</v>
      </c>
    </row>
    <row r="351" spans="1:18" ht="32.1" customHeight="1" x14ac:dyDescent="0.25">
      <c r="A351" s="10" t="s">
        <v>56</v>
      </c>
      <c r="B351" s="10" t="s">
        <v>121</v>
      </c>
      <c r="C351" s="10" t="s">
        <v>3</v>
      </c>
      <c r="D351" s="10" t="s">
        <v>62</v>
      </c>
      <c r="E351" s="10" t="s">
        <v>141</v>
      </c>
      <c r="F351" s="10" t="s">
        <v>169</v>
      </c>
      <c r="G351" s="11">
        <v>4</v>
      </c>
      <c r="H351" s="12">
        <v>95.316398104232718</v>
      </c>
      <c r="I351" s="12">
        <v>78.907639148013999</v>
      </c>
      <c r="J351" s="12"/>
      <c r="K351" s="12"/>
      <c r="L351" s="12">
        <v>76.06713836761368</v>
      </c>
      <c r="M351" s="12">
        <v>147.38317575328929</v>
      </c>
      <c r="N351" s="12">
        <v>34.769507359142487</v>
      </c>
      <c r="O351" s="12">
        <v>0.36477991248809549</v>
      </c>
      <c r="P351" s="10" t="s">
        <v>168</v>
      </c>
      <c r="Q351" s="12">
        <v>68.627806635047563</v>
      </c>
      <c r="R351" s="12">
        <v>97.316398104232761</v>
      </c>
    </row>
    <row r="352" spans="1:18" ht="32.1" customHeight="1" x14ac:dyDescent="0.25">
      <c r="A352" s="10" t="s">
        <v>56</v>
      </c>
      <c r="B352" s="10" t="s">
        <v>121</v>
      </c>
      <c r="C352" s="10" t="s">
        <v>3</v>
      </c>
      <c r="D352" s="10" t="s">
        <v>62</v>
      </c>
      <c r="E352" s="10" t="s">
        <v>142</v>
      </c>
      <c r="F352" s="10" t="s">
        <v>167</v>
      </c>
      <c r="G352" s="11">
        <v>40</v>
      </c>
      <c r="H352" s="12">
        <v>138.74424482551731</v>
      </c>
      <c r="I352" s="12">
        <v>112.7626688017896</v>
      </c>
      <c r="J352" s="12">
        <v>306.22799735438798</v>
      </c>
      <c r="K352" s="12"/>
      <c r="L352" s="12">
        <v>78.36911020166076</v>
      </c>
      <c r="M352" s="12">
        <v>331.81475861621539</v>
      </c>
      <c r="N352" s="12">
        <v>67.235959748978061</v>
      </c>
      <c r="O352" s="12">
        <v>0.4846035944304069</v>
      </c>
      <c r="P352" s="10" t="s">
        <v>168</v>
      </c>
      <c r="Q352" s="12">
        <v>101.06170007001479</v>
      </c>
      <c r="R352" s="12">
        <v>140.74424482551731</v>
      </c>
    </row>
    <row r="353" spans="1:18" ht="32.1" customHeight="1" x14ac:dyDescent="0.25">
      <c r="A353" s="10" t="s">
        <v>56</v>
      </c>
      <c r="B353" s="10" t="s">
        <v>121</v>
      </c>
      <c r="C353" s="10" t="s">
        <v>3</v>
      </c>
      <c r="D353" s="10" t="s">
        <v>62</v>
      </c>
      <c r="E353" s="10" t="s">
        <v>142</v>
      </c>
      <c r="F353" s="10" t="s">
        <v>169</v>
      </c>
      <c r="G353" s="11">
        <v>3</v>
      </c>
      <c r="H353" s="12">
        <v>92.00113718988284</v>
      </c>
      <c r="I353" s="12">
        <v>71.192996314848742</v>
      </c>
      <c r="J353" s="12"/>
      <c r="K353" s="12"/>
      <c r="L353" s="12">
        <v>65.195563718091918</v>
      </c>
      <c r="M353" s="12">
        <v>139.61485153670779</v>
      </c>
      <c r="N353" s="12">
        <v>41.343580455301009</v>
      </c>
      <c r="O353" s="12">
        <v>0.44938118938650978</v>
      </c>
      <c r="P353" s="10" t="s">
        <v>168</v>
      </c>
      <c r="Q353" s="12">
        <v>66.240818776715642</v>
      </c>
      <c r="R353" s="12">
        <v>94.00113718988284</v>
      </c>
    </row>
    <row r="354" spans="1:18" ht="32.1" customHeight="1" x14ac:dyDescent="0.25">
      <c r="A354" s="10" t="s">
        <v>56</v>
      </c>
      <c r="B354" s="10" t="s">
        <v>121</v>
      </c>
      <c r="C354" s="10" t="s">
        <v>3</v>
      </c>
      <c r="D354" s="10" t="s">
        <v>62</v>
      </c>
      <c r="E354" s="10" t="s">
        <v>143</v>
      </c>
      <c r="F354" s="10" t="s">
        <v>167</v>
      </c>
      <c r="G354" s="11">
        <v>41</v>
      </c>
      <c r="H354" s="12">
        <v>91.798251504136886</v>
      </c>
      <c r="I354" s="12">
        <v>77.265729183851533</v>
      </c>
      <c r="J354" s="12">
        <v>198.66989478246941</v>
      </c>
      <c r="K354" s="12"/>
      <c r="L354" s="12">
        <v>36.759776042783777</v>
      </c>
      <c r="M354" s="12">
        <v>373.82032804549738</v>
      </c>
      <c r="N354" s="12">
        <v>58.978794221689597</v>
      </c>
      <c r="O354" s="12">
        <v>0.64248276252878</v>
      </c>
      <c r="P354" s="10" t="s">
        <v>168</v>
      </c>
      <c r="Q354" s="12">
        <v>66.094741082978558</v>
      </c>
      <c r="R354" s="12">
        <v>93.798251504136886</v>
      </c>
    </row>
    <row r="355" spans="1:18" ht="32.1" customHeight="1" x14ac:dyDescent="0.25">
      <c r="A355" s="10" t="s">
        <v>56</v>
      </c>
      <c r="B355" s="10" t="s">
        <v>121</v>
      </c>
      <c r="C355" s="10" t="s">
        <v>3</v>
      </c>
      <c r="D355" s="10" t="s">
        <v>62</v>
      </c>
      <c r="E355" s="10" t="s">
        <v>143</v>
      </c>
      <c r="F355" s="10" t="s">
        <v>169</v>
      </c>
      <c r="G355" s="11">
        <v>2</v>
      </c>
      <c r="H355" s="12">
        <v>98.632431353448879</v>
      </c>
      <c r="I355" s="12">
        <v>98.632431353448879</v>
      </c>
      <c r="J355" s="12"/>
      <c r="K355" s="12"/>
      <c r="L355" s="12">
        <v>93.45299768884928</v>
      </c>
      <c r="M355" s="12">
        <v>103.81186501804849</v>
      </c>
      <c r="N355" s="12">
        <v>7.3248253338885441</v>
      </c>
      <c r="O355" s="12">
        <v>7.4263862640068803E-2</v>
      </c>
      <c r="P355" s="10" t="s">
        <v>168</v>
      </c>
      <c r="Q355" s="12">
        <v>71.015350574483193</v>
      </c>
      <c r="R355" s="12">
        <v>100.63243135344889</v>
      </c>
    </row>
    <row r="356" spans="1:18" ht="32.1" customHeight="1" x14ac:dyDescent="0.25">
      <c r="A356" s="10" t="s">
        <v>56</v>
      </c>
      <c r="B356" s="10" t="s">
        <v>121</v>
      </c>
      <c r="C356" s="10" t="s">
        <v>3</v>
      </c>
      <c r="D356" s="10" t="s">
        <v>62</v>
      </c>
      <c r="E356" s="10" t="s">
        <v>144</v>
      </c>
      <c r="F356" s="10" t="s">
        <v>167</v>
      </c>
      <c r="G356" s="11">
        <v>32</v>
      </c>
      <c r="H356" s="12">
        <v>116.3220073558105</v>
      </c>
      <c r="I356" s="12">
        <v>113.16678325488191</v>
      </c>
      <c r="J356" s="12">
        <v>182.78058024997321</v>
      </c>
      <c r="K356" s="12"/>
      <c r="L356" s="12">
        <v>26.001771698134</v>
      </c>
      <c r="M356" s="12">
        <v>193.46666771146039</v>
      </c>
      <c r="N356" s="12">
        <v>38.904508161300448</v>
      </c>
      <c r="O356" s="12">
        <v>0.3344552681445544</v>
      </c>
      <c r="P356" s="10" t="s">
        <v>168</v>
      </c>
      <c r="Q356" s="12">
        <v>81.141172115810178</v>
      </c>
      <c r="R356" s="12">
        <v>118.3220073558105</v>
      </c>
    </row>
    <row r="357" spans="1:18" ht="32.1" customHeight="1" x14ac:dyDescent="0.25">
      <c r="A357" s="10" t="s">
        <v>56</v>
      </c>
      <c r="B357" s="10" t="s">
        <v>121</v>
      </c>
      <c r="C357" s="10" t="s">
        <v>3</v>
      </c>
      <c r="D357" s="10" t="s">
        <v>62</v>
      </c>
      <c r="E357" s="10" t="s">
        <v>144</v>
      </c>
      <c r="F357" s="10" t="s">
        <v>169</v>
      </c>
      <c r="G357" s="11">
        <v>2</v>
      </c>
      <c r="H357" s="12">
        <v>95.257458388809397</v>
      </c>
      <c r="I357" s="12">
        <v>95.257458388809397</v>
      </c>
      <c r="J357" s="12"/>
      <c r="K357" s="12"/>
      <c r="L357" s="12">
        <v>90.327045829834759</v>
      </c>
      <c r="M357" s="12">
        <v>100.18787094778401</v>
      </c>
      <c r="N357" s="12">
        <v>6.9726563089965596</v>
      </c>
      <c r="O357" s="12">
        <v>7.3198009131594494E-2</v>
      </c>
      <c r="P357" s="10" t="s">
        <v>168</v>
      </c>
      <c r="Q357" s="12">
        <v>68.585370039942774</v>
      </c>
      <c r="R357" s="12">
        <v>97.257458388809397</v>
      </c>
    </row>
    <row r="358" spans="1:18" ht="32.1" customHeight="1" x14ac:dyDescent="0.25">
      <c r="A358" s="10" t="s">
        <v>56</v>
      </c>
      <c r="B358" s="10" t="s">
        <v>121</v>
      </c>
      <c r="C358" s="10" t="s">
        <v>3</v>
      </c>
      <c r="D358" s="10" t="s">
        <v>62</v>
      </c>
      <c r="E358" s="10" t="s">
        <v>145</v>
      </c>
      <c r="F358" s="10" t="s">
        <v>167</v>
      </c>
      <c r="G358" s="11">
        <v>42</v>
      </c>
      <c r="H358" s="12">
        <v>101.70829815781219</v>
      </c>
      <c r="I358" s="12">
        <v>95.240004765301038</v>
      </c>
      <c r="J358" s="12">
        <v>179.09938235264039</v>
      </c>
      <c r="K358" s="12"/>
      <c r="L358" s="12">
        <v>44.086842559574748</v>
      </c>
      <c r="M358" s="12">
        <v>206.03640539479531</v>
      </c>
      <c r="N358" s="12">
        <v>38.899718278046862</v>
      </c>
      <c r="O358" s="12">
        <v>0.38246356474954918</v>
      </c>
      <c r="P358" s="10" t="s">
        <v>168</v>
      </c>
      <c r="Q358" s="12">
        <v>72.056405978455174</v>
      </c>
      <c r="R358" s="12">
        <v>103.70829815781219</v>
      </c>
    </row>
    <row r="359" spans="1:18" ht="32.1" customHeight="1" x14ac:dyDescent="0.25">
      <c r="A359" s="10" t="s">
        <v>56</v>
      </c>
      <c r="B359" s="10" t="s">
        <v>121</v>
      </c>
      <c r="C359" s="10" t="s">
        <v>3</v>
      </c>
      <c r="D359" s="10" t="s">
        <v>62</v>
      </c>
      <c r="E359" s="10" t="s">
        <v>145</v>
      </c>
      <c r="F359" s="10" t="s">
        <v>169</v>
      </c>
      <c r="G359" s="11">
        <v>1</v>
      </c>
      <c r="H359" s="12">
        <v>70.076667858245955</v>
      </c>
      <c r="I359" s="12">
        <v>70.076667858245955</v>
      </c>
      <c r="J359" s="12"/>
      <c r="K359" s="12"/>
      <c r="L359" s="12">
        <v>70.076667858245955</v>
      </c>
      <c r="M359" s="12">
        <v>70.076667858245955</v>
      </c>
      <c r="N359" s="12"/>
      <c r="O359" s="12"/>
      <c r="P359" s="10" t="s">
        <v>168</v>
      </c>
      <c r="Q359" s="12">
        <v>50.455200857937093</v>
      </c>
      <c r="R359" s="12">
        <v>72.076667858245955</v>
      </c>
    </row>
    <row r="360" spans="1:18" ht="32.1" customHeight="1" x14ac:dyDescent="0.25">
      <c r="A360" s="10" t="s">
        <v>56</v>
      </c>
      <c r="B360" s="10" t="s">
        <v>121</v>
      </c>
      <c r="C360" s="10" t="s">
        <v>3</v>
      </c>
      <c r="D360" s="10" t="s">
        <v>63</v>
      </c>
      <c r="E360" s="10" t="s">
        <v>131</v>
      </c>
      <c r="F360" s="10" t="s">
        <v>167</v>
      </c>
      <c r="G360" s="11">
        <v>584</v>
      </c>
      <c r="H360" s="12">
        <v>42.164133594114723</v>
      </c>
      <c r="I360" s="12">
        <v>38.881853098299771</v>
      </c>
      <c r="J360" s="12">
        <v>72.282637083380365</v>
      </c>
      <c r="K360" s="12"/>
      <c r="L360" s="12">
        <v>10.002575508741931</v>
      </c>
      <c r="M360" s="12">
        <v>657.68955182352227</v>
      </c>
      <c r="N360" s="12">
        <v>30.298033097523721</v>
      </c>
      <c r="O360" s="12">
        <v>0.71857359596623438</v>
      </c>
      <c r="P360" s="10" t="s">
        <v>168</v>
      </c>
      <c r="Q360" s="12">
        <v>30.270576398466321</v>
      </c>
      <c r="R360" s="12">
        <v>44.164133594114723</v>
      </c>
    </row>
    <row r="361" spans="1:18" ht="32.1" customHeight="1" x14ac:dyDescent="0.25">
      <c r="A361" s="10" t="s">
        <v>56</v>
      </c>
      <c r="B361" s="10" t="s">
        <v>121</v>
      </c>
      <c r="C361" s="10" t="s">
        <v>3</v>
      </c>
      <c r="D361" s="10" t="s">
        <v>63</v>
      </c>
      <c r="E361" s="10" t="s">
        <v>131</v>
      </c>
      <c r="F361" s="10" t="s">
        <v>169</v>
      </c>
      <c r="G361" s="11">
        <v>38</v>
      </c>
      <c r="H361" s="12">
        <v>42.873941142197317</v>
      </c>
      <c r="I361" s="12">
        <v>40.156260370685999</v>
      </c>
      <c r="J361" s="12">
        <v>71.116058848904899</v>
      </c>
      <c r="K361" s="12"/>
      <c r="L361" s="12">
        <v>12.12901730660602</v>
      </c>
      <c r="M361" s="12">
        <v>77.814840877087903</v>
      </c>
      <c r="N361" s="12">
        <v>15.529169589048619</v>
      </c>
      <c r="O361" s="12">
        <v>0.3622053204193193</v>
      </c>
      <c r="P361" s="10" t="s">
        <v>168</v>
      </c>
      <c r="Q361" s="12">
        <v>30.987533495960299</v>
      </c>
      <c r="R361" s="12">
        <v>44.873941142197317</v>
      </c>
    </row>
    <row r="362" spans="1:18" ht="32.1" customHeight="1" x14ac:dyDescent="0.25">
      <c r="A362" s="10" t="s">
        <v>56</v>
      </c>
      <c r="B362" s="10" t="s">
        <v>121</v>
      </c>
      <c r="C362" s="10" t="s">
        <v>3</v>
      </c>
      <c r="D362" s="10" t="s">
        <v>63</v>
      </c>
      <c r="E362" s="10" t="s">
        <v>132</v>
      </c>
      <c r="F362" s="10" t="s">
        <v>167</v>
      </c>
      <c r="G362" s="11">
        <v>574</v>
      </c>
      <c r="H362" s="12">
        <v>44.369546529201841</v>
      </c>
      <c r="I362" s="12">
        <v>36.948236970289678</v>
      </c>
      <c r="J362" s="12">
        <v>69.650423722733322</v>
      </c>
      <c r="K362" s="12"/>
      <c r="L362" s="12">
        <v>12.00907172096324</v>
      </c>
      <c r="M362" s="12">
        <v>926.2846248912706</v>
      </c>
      <c r="N362" s="12">
        <v>60.751338659226093</v>
      </c>
      <c r="O362" s="12">
        <v>1.3692125210079069</v>
      </c>
      <c r="P362" s="10" t="s">
        <v>168</v>
      </c>
      <c r="Q362" s="12">
        <v>32.122040093646582</v>
      </c>
      <c r="R362" s="12">
        <v>46.369546529201841</v>
      </c>
    </row>
    <row r="363" spans="1:18" ht="32.1" customHeight="1" x14ac:dyDescent="0.25">
      <c r="A363" s="10" t="s">
        <v>56</v>
      </c>
      <c r="B363" s="10" t="s">
        <v>121</v>
      </c>
      <c r="C363" s="10" t="s">
        <v>3</v>
      </c>
      <c r="D363" s="10" t="s">
        <v>63</v>
      </c>
      <c r="E363" s="10" t="s">
        <v>132</v>
      </c>
      <c r="F363" s="10" t="s">
        <v>169</v>
      </c>
      <c r="G363" s="11">
        <v>31</v>
      </c>
      <c r="H363" s="12">
        <v>62.581484970009683</v>
      </c>
      <c r="I363" s="12">
        <v>30.134186205316009</v>
      </c>
      <c r="J363" s="12">
        <v>80.442479366150607</v>
      </c>
      <c r="K363" s="12"/>
      <c r="L363" s="12">
        <v>14.38281826308436</v>
      </c>
      <c r="M363" s="12">
        <v>917.93904232579803</v>
      </c>
      <c r="N363" s="12">
        <v>159.70467013138531</v>
      </c>
      <c r="O363" s="12">
        <v>2.551947596128775</v>
      </c>
      <c r="P363" s="10" t="s">
        <v>168</v>
      </c>
      <c r="Q363" s="12">
        <v>46.140287261396217</v>
      </c>
      <c r="R363" s="12">
        <v>64.581484970009683</v>
      </c>
    </row>
    <row r="364" spans="1:18" ht="32.1" customHeight="1" x14ac:dyDescent="0.25">
      <c r="A364" s="10" t="s">
        <v>56</v>
      </c>
      <c r="B364" s="10" t="s">
        <v>121</v>
      </c>
      <c r="C364" s="10" t="s">
        <v>3</v>
      </c>
      <c r="D364" s="10" t="s">
        <v>63</v>
      </c>
      <c r="E364" s="10" t="s">
        <v>133</v>
      </c>
      <c r="F364" s="10" t="s">
        <v>167</v>
      </c>
      <c r="G364" s="11">
        <v>577</v>
      </c>
      <c r="H364" s="12">
        <v>36.49234534356615</v>
      </c>
      <c r="I364" s="12">
        <v>34.097367334105677</v>
      </c>
      <c r="J364" s="12">
        <v>64.408209678688877</v>
      </c>
      <c r="K364" s="12"/>
      <c r="L364" s="12">
        <v>11.16265218067459</v>
      </c>
      <c r="M364" s="12">
        <v>109.3812984101335</v>
      </c>
      <c r="N364" s="12">
        <v>14.90187107351478</v>
      </c>
      <c r="O364" s="12">
        <v>0.40835607942480689</v>
      </c>
      <c r="P364" s="10" t="s">
        <v>168</v>
      </c>
      <c r="Q364" s="12">
        <v>26.171091532226921</v>
      </c>
      <c r="R364" s="12">
        <v>38.49234534356615</v>
      </c>
    </row>
    <row r="365" spans="1:18" ht="32.1" customHeight="1" x14ac:dyDescent="0.25">
      <c r="A365" s="10" t="s">
        <v>56</v>
      </c>
      <c r="B365" s="10" t="s">
        <v>121</v>
      </c>
      <c r="C365" s="10" t="s">
        <v>3</v>
      </c>
      <c r="D365" s="10" t="s">
        <v>63</v>
      </c>
      <c r="E365" s="10" t="s">
        <v>133</v>
      </c>
      <c r="F365" s="10" t="s">
        <v>169</v>
      </c>
      <c r="G365" s="11">
        <v>42</v>
      </c>
      <c r="H365" s="12">
        <v>43.857998698880387</v>
      </c>
      <c r="I365" s="12">
        <v>34.170725269645978</v>
      </c>
      <c r="J365" s="12">
        <v>56.404650967939922</v>
      </c>
      <c r="K365" s="12"/>
      <c r="L365" s="12">
        <v>14.205629639360829</v>
      </c>
      <c r="M365" s="12">
        <v>383.27833990804629</v>
      </c>
      <c r="N365" s="12">
        <v>55.132833896592572</v>
      </c>
      <c r="O365" s="12">
        <v>1.2570759161885789</v>
      </c>
      <c r="P365" s="10" t="s">
        <v>168</v>
      </c>
      <c r="Q365" s="12">
        <v>31.577759063193881</v>
      </c>
      <c r="R365" s="12">
        <v>45.857998698880387</v>
      </c>
    </row>
    <row r="366" spans="1:18" ht="32.1" customHeight="1" x14ac:dyDescent="0.25">
      <c r="A366" s="10" t="s">
        <v>56</v>
      </c>
      <c r="B366" s="10" t="s">
        <v>121</v>
      </c>
      <c r="C366" s="10" t="s">
        <v>3</v>
      </c>
      <c r="D366" s="10" t="s">
        <v>63</v>
      </c>
      <c r="E366" s="10" t="s">
        <v>134</v>
      </c>
      <c r="F366" s="10" t="s">
        <v>167</v>
      </c>
      <c r="G366" s="11">
        <v>609</v>
      </c>
      <c r="H366" s="12">
        <v>36.039406981941362</v>
      </c>
      <c r="I366" s="12">
        <v>31.4949998691385</v>
      </c>
      <c r="J366" s="12">
        <v>62.060347989398231</v>
      </c>
      <c r="K366" s="12"/>
      <c r="L366" s="12">
        <v>8.5611589461640172</v>
      </c>
      <c r="M366" s="12">
        <v>602.26696538318436</v>
      </c>
      <c r="N366" s="12">
        <v>33.572310698040191</v>
      </c>
      <c r="O366" s="12">
        <v>0.93154448170755477</v>
      </c>
      <c r="P366" s="10" t="s">
        <v>168</v>
      </c>
      <c r="Q366" s="12">
        <v>25.99671090197754</v>
      </c>
      <c r="R366" s="12">
        <v>38.039406981941362</v>
      </c>
    </row>
    <row r="367" spans="1:18" ht="32.1" customHeight="1" x14ac:dyDescent="0.25">
      <c r="A367" s="10" t="s">
        <v>56</v>
      </c>
      <c r="B367" s="10" t="s">
        <v>121</v>
      </c>
      <c r="C367" s="10" t="s">
        <v>3</v>
      </c>
      <c r="D367" s="10" t="s">
        <v>63</v>
      </c>
      <c r="E367" s="10" t="s">
        <v>134</v>
      </c>
      <c r="F367" s="10" t="s">
        <v>169</v>
      </c>
      <c r="G367" s="11">
        <v>35</v>
      </c>
      <c r="H367" s="12">
        <v>37.073984681887673</v>
      </c>
      <c r="I367" s="12">
        <v>34.905911187103207</v>
      </c>
      <c r="J367" s="12">
        <v>58.194209606707922</v>
      </c>
      <c r="K367" s="12"/>
      <c r="L367" s="12">
        <v>18.447123598474381</v>
      </c>
      <c r="M367" s="12">
        <v>73.559362745304966</v>
      </c>
      <c r="N367" s="12">
        <v>12.24305351764804</v>
      </c>
      <c r="O367" s="12">
        <v>0.33023300901425179</v>
      </c>
      <c r="P367" s="10" t="s">
        <v>168</v>
      </c>
      <c r="Q367" s="12">
        <v>26.538151636031071</v>
      </c>
      <c r="R367" s="12">
        <v>39.073984681887673</v>
      </c>
    </row>
    <row r="368" spans="1:18" ht="32.1" customHeight="1" x14ac:dyDescent="0.25">
      <c r="A368" s="10" t="s">
        <v>56</v>
      </c>
      <c r="B368" s="10" t="s">
        <v>121</v>
      </c>
      <c r="C368" s="10" t="s">
        <v>3</v>
      </c>
      <c r="D368" s="10" t="s">
        <v>63</v>
      </c>
      <c r="E368" s="10" t="s">
        <v>135</v>
      </c>
      <c r="F368" s="10" t="s">
        <v>167</v>
      </c>
      <c r="G368" s="11">
        <v>574</v>
      </c>
      <c r="H368" s="12">
        <v>48.062210794718737</v>
      </c>
      <c r="I368" s="12">
        <v>40.076219043772142</v>
      </c>
      <c r="J368" s="12">
        <v>78.34229224864157</v>
      </c>
      <c r="K368" s="12"/>
      <c r="L368" s="12">
        <v>11.846055402753541</v>
      </c>
      <c r="M368" s="12">
        <v>811.3042446954953</v>
      </c>
      <c r="N368" s="12">
        <v>61.114579486232891</v>
      </c>
      <c r="O368" s="12">
        <v>1.271572374131162</v>
      </c>
      <c r="P368" s="10" t="s">
        <v>168</v>
      </c>
      <c r="Q368" s="12">
        <v>34.870870590575329</v>
      </c>
      <c r="R368" s="12">
        <v>50.062210794718737</v>
      </c>
    </row>
    <row r="369" spans="1:18" ht="32.1" customHeight="1" x14ac:dyDescent="0.25">
      <c r="A369" s="10" t="s">
        <v>56</v>
      </c>
      <c r="B369" s="10" t="s">
        <v>121</v>
      </c>
      <c r="C369" s="10" t="s">
        <v>3</v>
      </c>
      <c r="D369" s="10" t="s">
        <v>63</v>
      </c>
      <c r="E369" s="10" t="s">
        <v>135</v>
      </c>
      <c r="F369" s="10" t="s">
        <v>169</v>
      </c>
      <c r="G369" s="11">
        <v>41</v>
      </c>
      <c r="H369" s="12">
        <v>43.315201243199809</v>
      </c>
      <c r="I369" s="12">
        <v>39.443077990550812</v>
      </c>
      <c r="J369" s="12">
        <v>70.720160965793383</v>
      </c>
      <c r="K369" s="12"/>
      <c r="L369" s="12">
        <v>17.162036413421529</v>
      </c>
      <c r="M369" s="12">
        <v>133.4065299338078</v>
      </c>
      <c r="N369" s="12">
        <v>20.37879035733258</v>
      </c>
      <c r="O369" s="12">
        <v>0.47047664035802939</v>
      </c>
      <c r="P369" s="10" t="s">
        <v>168</v>
      </c>
      <c r="Q369" s="12">
        <v>31.172408377552991</v>
      </c>
      <c r="R369" s="12">
        <v>45.315201243199809</v>
      </c>
    </row>
    <row r="370" spans="1:18" ht="32.1" customHeight="1" x14ac:dyDescent="0.25">
      <c r="A370" s="10" t="s">
        <v>56</v>
      </c>
      <c r="B370" s="10" t="s">
        <v>121</v>
      </c>
      <c r="C370" s="10" t="s">
        <v>3</v>
      </c>
      <c r="D370" s="10" t="s">
        <v>63</v>
      </c>
      <c r="E370" s="10" t="s">
        <v>136</v>
      </c>
      <c r="F370" s="10" t="s">
        <v>167</v>
      </c>
      <c r="G370" s="11">
        <v>63</v>
      </c>
      <c r="H370" s="12">
        <v>34.935885074632047</v>
      </c>
      <c r="I370" s="12">
        <v>32.268232147105003</v>
      </c>
      <c r="J370" s="12">
        <v>61.011173076259297</v>
      </c>
      <c r="K370" s="12"/>
      <c r="L370" s="12">
        <v>16.21058668775704</v>
      </c>
      <c r="M370" s="12">
        <v>77.007326464396016</v>
      </c>
      <c r="N370" s="12">
        <v>13.357769801656911</v>
      </c>
      <c r="O370" s="12">
        <v>0.3823509773151953</v>
      </c>
      <c r="P370" s="10" t="s">
        <v>168</v>
      </c>
      <c r="Q370" s="12">
        <v>25.27474530202122</v>
      </c>
      <c r="R370" s="12">
        <v>36.935885074632047</v>
      </c>
    </row>
    <row r="371" spans="1:18" ht="32.1" customHeight="1" x14ac:dyDescent="0.25">
      <c r="A371" s="10" t="s">
        <v>56</v>
      </c>
      <c r="B371" s="10" t="s">
        <v>121</v>
      </c>
      <c r="C371" s="10" t="s">
        <v>3</v>
      </c>
      <c r="D371" s="10" t="s">
        <v>63</v>
      </c>
      <c r="E371" s="10" t="s">
        <v>136</v>
      </c>
      <c r="F371" s="10" t="s">
        <v>169</v>
      </c>
      <c r="G371" s="11">
        <v>4</v>
      </c>
      <c r="H371" s="12">
        <v>53.993981126875923</v>
      </c>
      <c r="I371" s="12">
        <v>59.131472335537907</v>
      </c>
      <c r="J371" s="12"/>
      <c r="K371" s="12"/>
      <c r="L371" s="12">
        <v>26.275450708250371</v>
      </c>
      <c r="M371" s="12">
        <v>71.437529128177502</v>
      </c>
      <c r="N371" s="12">
        <v>20.772845760262339</v>
      </c>
      <c r="O371" s="12">
        <v>0.3847252106017145</v>
      </c>
      <c r="P371" s="10" t="s">
        <v>168</v>
      </c>
      <c r="Q371" s="12">
        <v>38.875666411350657</v>
      </c>
      <c r="R371" s="12">
        <v>55.993981126875923</v>
      </c>
    </row>
    <row r="372" spans="1:18" ht="32.1" customHeight="1" x14ac:dyDescent="0.25">
      <c r="A372" s="10" t="s">
        <v>56</v>
      </c>
      <c r="B372" s="10" t="s">
        <v>121</v>
      </c>
      <c r="C372" s="10" t="s">
        <v>3</v>
      </c>
      <c r="D372" s="10" t="s">
        <v>63</v>
      </c>
      <c r="E372" s="10" t="s">
        <v>137</v>
      </c>
      <c r="F372" s="10" t="s">
        <v>167</v>
      </c>
      <c r="G372" s="11">
        <v>57</v>
      </c>
      <c r="H372" s="12">
        <v>37.19615395655417</v>
      </c>
      <c r="I372" s="12">
        <v>35.579697871075012</v>
      </c>
      <c r="J372" s="12">
        <v>59.055570727264517</v>
      </c>
      <c r="K372" s="12"/>
      <c r="L372" s="12">
        <v>14.8074067708624</v>
      </c>
      <c r="M372" s="12">
        <v>127.5580784444318</v>
      </c>
      <c r="N372" s="12">
        <v>17.53947965943474</v>
      </c>
      <c r="O372" s="12">
        <v>0.47154014041132281</v>
      </c>
      <c r="P372" s="10" t="s">
        <v>168</v>
      </c>
      <c r="Q372" s="12">
        <v>26.669394237799949</v>
      </c>
      <c r="R372" s="12">
        <v>39.19615395655417</v>
      </c>
    </row>
    <row r="373" spans="1:18" ht="32.1" customHeight="1" x14ac:dyDescent="0.25">
      <c r="A373" s="10" t="s">
        <v>56</v>
      </c>
      <c r="B373" s="10" t="s">
        <v>121</v>
      </c>
      <c r="C373" s="10" t="s">
        <v>3</v>
      </c>
      <c r="D373" s="10" t="s">
        <v>63</v>
      </c>
      <c r="E373" s="10" t="s">
        <v>137</v>
      </c>
      <c r="F373" s="10" t="s">
        <v>169</v>
      </c>
      <c r="G373" s="11">
        <v>4</v>
      </c>
      <c r="H373" s="12">
        <v>35.412066039355068</v>
      </c>
      <c r="I373" s="12">
        <v>28.780714768619891</v>
      </c>
      <c r="J373" s="12"/>
      <c r="K373" s="12"/>
      <c r="L373" s="12">
        <v>20.954911426245459</v>
      </c>
      <c r="M373" s="12">
        <v>63.131923193935023</v>
      </c>
      <c r="N373" s="12">
        <v>18.846754896357069</v>
      </c>
      <c r="O373" s="12">
        <v>0.53221280213958144</v>
      </c>
      <c r="P373" s="10" t="s">
        <v>168</v>
      </c>
      <c r="Q373" s="12">
        <v>25.49668754833565</v>
      </c>
      <c r="R373" s="12">
        <v>37.412066039355068</v>
      </c>
    </row>
    <row r="374" spans="1:18" ht="32.1" customHeight="1" x14ac:dyDescent="0.25">
      <c r="A374" s="10" t="s">
        <v>56</v>
      </c>
      <c r="B374" s="10" t="s">
        <v>121</v>
      </c>
      <c r="C374" s="10" t="s">
        <v>3</v>
      </c>
      <c r="D374" s="10" t="s">
        <v>63</v>
      </c>
      <c r="E374" s="10" t="s">
        <v>138</v>
      </c>
      <c r="F374" s="10" t="s">
        <v>167</v>
      </c>
      <c r="G374" s="11">
        <v>61</v>
      </c>
      <c r="H374" s="12">
        <v>38.70157546985228</v>
      </c>
      <c r="I374" s="12">
        <v>37.314928011250913</v>
      </c>
      <c r="J374" s="12">
        <v>56.192123029917163</v>
      </c>
      <c r="K374" s="12"/>
      <c r="L374" s="12">
        <v>13.95460390894806</v>
      </c>
      <c r="M374" s="12">
        <v>87.436069366447768</v>
      </c>
      <c r="N374" s="12">
        <v>13.99777914190685</v>
      </c>
      <c r="O374" s="12">
        <v>0.36168499529976039</v>
      </c>
      <c r="P374" s="10" t="s">
        <v>168</v>
      </c>
      <c r="Q374" s="12">
        <v>28.078541113924839</v>
      </c>
      <c r="R374" s="12">
        <v>40.70157546985228</v>
      </c>
    </row>
    <row r="375" spans="1:18" ht="32.1" customHeight="1" x14ac:dyDescent="0.25">
      <c r="A375" s="10" t="s">
        <v>56</v>
      </c>
      <c r="B375" s="10" t="s">
        <v>121</v>
      </c>
      <c r="C375" s="10" t="s">
        <v>3</v>
      </c>
      <c r="D375" s="10" t="s">
        <v>63</v>
      </c>
      <c r="E375" s="10" t="s">
        <v>138</v>
      </c>
      <c r="F375" s="10" t="s">
        <v>169</v>
      </c>
      <c r="G375" s="11">
        <v>4</v>
      </c>
      <c r="H375" s="12">
        <v>44.979053685464052</v>
      </c>
      <c r="I375" s="12">
        <v>41.556511352611082</v>
      </c>
      <c r="J375" s="12"/>
      <c r="K375" s="12"/>
      <c r="L375" s="12">
        <v>20.821051267592029</v>
      </c>
      <c r="M375" s="12">
        <v>75.982140769042019</v>
      </c>
      <c r="N375" s="12">
        <v>22.863640842557508</v>
      </c>
      <c r="O375" s="12">
        <v>0.50831751602516229</v>
      </c>
      <c r="P375" s="10" t="s">
        <v>168</v>
      </c>
      <c r="Q375" s="12">
        <v>32.384918653534108</v>
      </c>
      <c r="R375" s="12">
        <v>46.979053685464052</v>
      </c>
    </row>
    <row r="376" spans="1:18" ht="32.1" customHeight="1" x14ac:dyDescent="0.25">
      <c r="A376" s="10" t="s">
        <v>56</v>
      </c>
      <c r="B376" s="10" t="s">
        <v>121</v>
      </c>
      <c r="C376" s="10" t="s">
        <v>3</v>
      </c>
      <c r="D376" s="10" t="s">
        <v>63</v>
      </c>
      <c r="E376" s="10" t="s">
        <v>139</v>
      </c>
      <c r="F376" s="10" t="s">
        <v>167</v>
      </c>
      <c r="G376" s="11">
        <v>64</v>
      </c>
      <c r="H376" s="12">
        <v>39.036504154692722</v>
      </c>
      <c r="I376" s="12">
        <v>36.395343480221158</v>
      </c>
      <c r="J376" s="12">
        <v>65.536486534971573</v>
      </c>
      <c r="K376" s="12"/>
      <c r="L376" s="12">
        <v>14.928852076059121</v>
      </c>
      <c r="M376" s="12">
        <v>80.463638717766514</v>
      </c>
      <c r="N376" s="12">
        <v>15.06329716310854</v>
      </c>
      <c r="O376" s="12">
        <v>0.38587720620207538</v>
      </c>
      <c r="P376" s="10" t="s">
        <v>168</v>
      </c>
      <c r="Q376" s="12">
        <v>28.1748724753426</v>
      </c>
      <c r="R376" s="12">
        <v>41.036504154692729</v>
      </c>
    </row>
    <row r="377" spans="1:18" ht="32.1" customHeight="1" x14ac:dyDescent="0.25">
      <c r="A377" s="10" t="s">
        <v>56</v>
      </c>
      <c r="B377" s="10" t="s">
        <v>121</v>
      </c>
      <c r="C377" s="10" t="s">
        <v>3</v>
      </c>
      <c r="D377" s="10" t="s">
        <v>63</v>
      </c>
      <c r="E377" s="10" t="s">
        <v>139</v>
      </c>
      <c r="F377" s="10" t="s">
        <v>169</v>
      </c>
      <c r="G377" s="11">
        <v>3</v>
      </c>
      <c r="H377" s="12">
        <v>54.626508545746908</v>
      </c>
      <c r="I377" s="12">
        <v>39.853668572666592</v>
      </c>
      <c r="J377" s="12"/>
      <c r="K377" s="12"/>
      <c r="L377" s="12">
        <v>24.119003191398921</v>
      </c>
      <c r="M377" s="12">
        <v>99.906853873175237</v>
      </c>
      <c r="N377" s="12">
        <v>39.995339458410477</v>
      </c>
      <c r="O377" s="12">
        <v>0.73215990776559381</v>
      </c>
      <c r="P377" s="10" t="s">
        <v>168</v>
      </c>
      <c r="Q377" s="12">
        <v>39.331086152937772</v>
      </c>
      <c r="R377" s="12">
        <v>56.626508545746908</v>
      </c>
    </row>
    <row r="378" spans="1:18" ht="32.1" customHeight="1" x14ac:dyDescent="0.25">
      <c r="A378" s="10" t="s">
        <v>56</v>
      </c>
      <c r="B378" s="10" t="s">
        <v>121</v>
      </c>
      <c r="C378" s="10" t="s">
        <v>3</v>
      </c>
      <c r="D378" s="10" t="s">
        <v>63</v>
      </c>
      <c r="E378" s="10" t="s">
        <v>140</v>
      </c>
      <c r="F378" s="10" t="s">
        <v>167</v>
      </c>
      <c r="G378" s="11">
        <v>58</v>
      </c>
      <c r="H378" s="12">
        <v>41.275831514864883</v>
      </c>
      <c r="I378" s="12">
        <v>36.690901508700072</v>
      </c>
      <c r="J378" s="12">
        <v>80.382552146424715</v>
      </c>
      <c r="K378" s="12"/>
      <c r="L378" s="12">
        <v>17.230722618952068</v>
      </c>
      <c r="M378" s="12">
        <v>105.41741447485779</v>
      </c>
      <c r="N378" s="12">
        <v>19.635970102049988</v>
      </c>
      <c r="O378" s="12">
        <v>0.47572560942784109</v>
      </c>
      <c r="P378" s="10" t="s">
        <v>168</v>
      </c>
      <c r="Q378" s="12">
        <v>29.808242290186829</v>
      </c>
      <c r="R378" s="12">
        <v>43.275831514864883</v>
      </c>
    </row>
    <row r="379" spans="1:18" ht="32.1" customHeight="1" x14ac:dyDescent="0.25">
      <c r="A379" s="10" t="s">
        <v>56</v>
      </c>
      <c r="B379" s="10" t="s">
        <v>121</v>
      </c>
      <c r="C379" s="10" t="s">
        <v>3</v>
      </c>
      <c r="D379" s="10" t="s">
        <v>63</v>
      </c>
      <c r="E379" s="10" t="s">
        <v>140</v>
      </c>
      <c r="F379" s="10" t="s">
        <v>169</v>
      </c>
      <c r="G379" s="11">
        <v>2</v>
      </c>
      <c r="H379" s="12">
        <v>36.730065037264708</v>
      </c>
      <c r="I379" s="12">
        <v>36.730065037264708</v>
      </c>
      <c r="J379" s="12"/>
      <c r="K379" s="12"/>
      <c r="L379" s="12">
        <v>31.12304380979446</v>
      </c>
      <c r="M379" s="12">
        <v>42.337086264734957</v>
      </c>
      <c r="N379" s="12">
        <v>7.9295254644022721</v>
      </c>
      <c r="O379" s="12">
        <v>0.21588650758873751</v>
      </c>
      <c r="P379" s="10" t="s">
        <v>168</v>
      </c>
      <c r="Q379" s="12">
        <v>26.44564682683059</v>
      </c>
      <c r="R379" s="12">
        <v>38.730065037264708</v>
      </c>
    </row>
    <row r="380" spans="1:18" ht="32.1" customHeight="1" x14ac:dyDescent="0.25">
      <c r="A380" s="10" t="s">
        <v>56</v>
      </c>
      <c r="B380" s="10" t="s">
        <v>121</v>
      </c>
      <c r="C380" s="10" t="s">
        <v>3</v>
      </c>
      <c r="D380" s="10" t="s">
        <v>63</v>
      </c>
      <c r="E380" s="10" t="s">
        <v>141</v>
      </c>
      <c r="F380" s="10" t="s">
        <v>167</v>
      </c>
      <c r="G380" s="11">
        <v>240</v>
      </c>
      <c r="H380" s="12">
        <v>35.109507516116842</v>
      </c>
      <c r="I380" s="12">
        <v>28.920953114404131</v>
      </c>
      <c r="J380" s="12">
        <v>54.527851312714738</v>
      </c>
      <c r="K380" s="12"/>
      <c r="L380" s="12">
        <v>13.74743332387636</v>
      </c>
      <c r="M380" s="12">
        <v>416.10332344661089</v>
      </c>
      <c r="N380" s="12">
        <v>33.16991428074931</v>
      </c>
      <c r="O380" s="12">
        <v>0.94475589740251498</v>
      </c>
      <c r="P380" s="10" t="s">
        <v>168</v>
      </c>
      <c r="Q380" s="12">
        <v>25.30822603644479</v>
      </c>
      <c r="R380" s="12">
        <v>37.109507516116842</v>
      </c>
    </row>
    <row r="381" spans="1:18" ht="32.1" customHeight="1" x14ac:dyDescent="0.25">
      <c r="A381" s="10" t="s">
        <v>56</v>
      </c>
      <c r="B381" s="10" t="s">
        <v>121</v>
      </c>
      <c r="C381" s="10" t="s">
        <v>3</v>
      </c>
      <c r="D381" s="10" t="s">
        <v>63</v>
      </c>
      <c r="E381" s="10" t="s">
        <v>141</v>
      </c>
      <c r="F381" s="10" t="s">
        <v>169</v>
      </c>
      <c r="G381" s="11">
        <v>11</v>
      </c>
      <c r="H381" s="12">
        <v>33.732045006029459</v>
      </c>
      <c r="I381" s="12">
        <v>32.978879157047302</v>
      </c>
      <c r="J381" s="12"/>
      <c r="K381" s="12"/>
      <c r="L381" s="12">
        <v>24.4135560727273</v>
      </c>
      <c r="M381" s="12">
        <v>49.121551092222589</v>
      </c>
      <c r="N381" s="12">
        <v>8.3708909576475232</v>
      </c>
      <c r="O381" s="12">
        <v>0.2481584189796753</v>
      </c>
      <c r="P381" s="10" t="s">
        <v>168</v>
      </c>
      <c r="Q381" s="12">
        <v>24.287072404341199</v>
      </c>
      <c r="R381" s="12">
        <v>35.732045006029459</v>
      </c>
    </row>
    <row r="382" spans="1:18" ht="32.1" customHeight="1" x14ac:dyDescent="0.25">
      <c r="A382" s="10" t="s">
        <v>56</v>
      </c>
      <c r="B382" s="10" t="s">
        <v>121</v>
      </c>
      <c r="C382" s="10" t="s">
        <v>3</v>
      </c>
      <c r="D382" s="10" t="s">
        <v>63</v>
      </c>
      <c r="E382" s="10" t="s">
        <v>142</v>
      </c>
      <c r="F382" s="10" t="s">
        <v>167</v>
      </c>
      <c r="G382" s="11">
        <v>216</v>
      </c>
      <c r="H382" s="12">
        <v>46.416311672379557</v>
      </c>
      <c r="I382" s="12">
        <v>42.884966851724023</v>
      </c>
      <c r="J382" s="12">
        <v>78.39733393113444</v>
      </c>
      <c r="K382" s="12"/>
      <c r="L382" s="12">
        <v>11.954115274521721</v>
      </c>
      <c r="M382" s="12">
        <v>98.874162182388474</v>
      </c>
      <c r="N382" s="12">
        <v>16.386911512820891</v>
      </c>
      <c r="O382" s="12">
        <v>0.35304208633561179</v>
      </c>
      <c r="P382" s="10" t="s">
        <v>168</v>
      </c>
      <c r="Q382" s="12">
        <v>33.51057257623701</v>
      </c>
      <c r="R382" s="12">
        <v>48.416311672379557</v>
      </c>
    </row>
    <row r="383" spans="1:18" ht="32.1" customHeight="1" x14ac:dyDescent="0.25">
      <c r="A383" s="10" t="s">
        <v>56</v>
      </c>
      <c r="B383" s="10" t="s">
        <v>121</v>
      </c>
      <c r="C383" s="10" t="s">
        <v>3</v>
      </c>
      <c r="D383" s="10" t="s">
        <v>63</v>
      </c>
      <c r="E383" s="10" t="s">
        <v>142</v>
      </c>
      <c r="F383" s="10" t="s">
        <v>169</v>
      </c>
      <c r="G383" s="11">
        <v>16</v>
      </c>
      <c r="H383" s="12">
        <v>82.543510757689745</v>
      </c>
      <c r="I383" s="12">
        <v>42.318497294848733</v>
      </c>
      <c r="J383" s="12"/>
      <c r="K383" s="12"/>
      <c r="L383" s="12">
        <v>18.487793319331079</v>
      </c>
      <c r="M383" s="12">
        <v>580.65154309840182</v>
      </c>
      <c r="N383" s="12">
        <v>135.40310060025689</v>
      </c>
      <c r="O383" s="12">
        <v>1.6403845603046721</v>
      </c>
      <c r="P383" s="10" t="s">
        <v>168</v>
      </c>
      <c r="Q383" s="12">
        <v>59.43132774553662</v>
      </c>
      <c r="R383" s="12">
        <v>84.543510757689745</v>
      </c>
    </row>
    <row r="384" spans="1:18" ht="32.1" customHeight="1" x14ac:dyDescent="0.25">
      <c r="A384" s="10" t="s">
        <v>56</v>
      </c>
      <c r="B384" s="10" t="s">
        <v>121</v>
      </c>
      <c r="C384" s="10" t="s">
        <v>3</v>
      </c>
      <c r="D384" s="10" t="s">
        <v>63</v>
      </c>
      <c r="E384" s="10" t="s">
        <v>143</v>
      </c>
      <c r="F384" s="10" t="s">
        <v>167</v>
      </c>
      <c r="G384" s="11">
        <v>207</v>
      </c>
      <c r="H384" s="12">
        <v>30.779965556968289</v>
      </c>
      <c r="I384" s="12">
        <v>28.048978227614999</v>
      </c>
      <c r="J384" s="12">
        <v>55.301056314389911</v>
      </c>
      <c r="K384" s="12"/>
      <c r="L384" s="12">
        <v>10.811724117305131</v>
      </c>
      <c r="M384" s="12">
        <v>84.306583416537507</v>
      </c>
      <c r="N384" s="12">
        <v>11.96715584655985</v>
      </c>
      <c r="O384" s="12">
        <v>0.38879692130943933</v>
      </c>
      <c r="P384" s="10" t="s">
        <v>168</v>
      </c>
      <c r="Q384" s="12">
        <v>22.42076423744119</v>
      </c>
      <c r="R384" s="12">
        <v>32.779965556968293</v>
      </c>
    </row>
    <row r="385" spans="1:18" ht="32.1" customHeight="1" x14ac:dyDescent="0.25">
      <c r="A385" s="10" t="s">
        <v>56</v>
      </c>
      <c r="B385" s="10" t="s">
        <v>121</v>
      </c>
      <c r="C385" s="10" t="s">
        <v>3</v>
      </c>
      <c r="D385" s="10" t="s">
        <v>63</v>
      </c>
      <c r="E385" s="10" t="s">
        <v>143</v>
      </c>
      <c r="F385" s="10" t="s">
        <v>169</v>
      </c>
      <c r="G385" s="11">
        <v>24</v>
      </c>
      <c r="H385" s="12">
        <v>27.536872158413871</v>
      </c>
      <c r="I385" s="12">
        <v>24.985802323478239</v>
      </c>
      <c r="J385" s="12">
        <v>48.660393373193621</v>
      </c>
      <c r="K385" s="12"/>
      <c r="L385" s="12">
        <v>12.693659870468871</v>
      </c>
      <c r="M385" s="12">
        <v>56.991075223782843</v>
      </c>
      <c r="N385" s="12">
        <v>10.8381302385209</v>
      </c>
      <c r="O385" s="12">
        <v>0.39358610433935282</v>
      </c>
      <c r="P385" s="10" t="s">
        <v>168</v>
      </c>
      <c r="Q385" s="12">
        <v>19.826547954057979</v>
      </c>
      <c r="R385" s="12">
        <v>29.536872158413871</v>
      </c>
    </row>
    <row r="386" spans="1:18" ht="32.1" customHeight="1" x14ac:dyDescent="0.25">
      <c r="A386" s="10" t="s">
        <v>56</v>
      </c>
      <c r="B386" s="10" t="s">
        <v>121</v>
      </c>
      <c r="C386" s="10" t="s">
        <v>3</v>
      </c>
      <c r="D386" s="10" t="s">
        <v>63</v>
      </c>
      <c r="E386" s="10" t="s">
        <v>144</v>
      </c>
      <c r="F386" s="10" t="s">
        <v>167</v>
      </c>
      <c r="G386" s="11">
        <v>245</v>
      </c>
      <c r="H386" s="12">
        <v>39.90024150423438</v>
      </c>
      <c r="I386" s="12">
        <v>35.20338052550192</v>
      </c>
      <c r="J386" s="12">
        <v>66.803026121600553</v>
      </c>
      <c r="K386" s="12"/>
      <c r="L386" s="12">
        <v>14.49035094293918</v>
      </c>
      <c r="M386" s="12">
        <v>582.38839485109872</v>
      </c>
      <c r="N386" s="12">
        <v>37.601746577577913</v>
      </c>
      <c r="O386" s="12">
        <v>0.94239395953499305</v>
      </c>
      <c r="P386" s="10" t="s">
        <v>168</v>
      </c>
      <c r="Q386" s="12">
        <v>28.45405995154816</v>
      </c>
      <c r="R386" s="12">
        <v>41.90024150423438</v>
      </c>
    </row>
    <row r="387" spans="1:18" ht="32.1" customHeight="1" x14ac:dyDescent="0.25">
      <c r="A387" s="10" t="s">
        <v>56</v>
      </c>
      <c r="B387" s="10" t="s">
        <v>121</v>
      </c>
      <c r="C387" s="10" t="s">
        <v>3</v>
      </c>
      <c r="D387" s="10" t="s">
        <v>63</v>
      </c>
      <c r="E387" s="10" t="s">
        <v>144</v>
      </c>
      <c r="F387" s="10" t="s">
        <v>169</v>
      </c>
      <c r="G387" s="11">
        <v>19</v>
      </c>
      <c r="H387" s="12">
        <v>38.322693503017341</v>
      </c>
      <c r="I387" s="12">
        <v>41.636012948138053</v>
      </c>
      <c r="J387" s="12"/>
      <c r="K387" s="12"/>
      <c r="L387" s="12">
        <v>12.79031779691651</v>
      </c>
      <c r="M387" s="12">
        <v>80.450638356193551</v>
      </c>
      <c r="N387" s="12">
        <v>17.87257668998074</v>
      </c>
      <c r="O387" s="12">
        <v>0.46637057722922159</v>
      </c>
      <c r="P387" s="10" t="s">
        <v>168</v>
      </c>
      <c r="Q387" s="12">
        <v>27.592339322172482</v>
      </c>
      <c r="R387" s="12">
        <v>40.322693503017341</v>
      </c>
    </row>
    <row r="388" spans="1:18" ht="32.1" customHeight="1" x14ac:dyDescent="0.25">
      <c r="A388" s="10" t="s">
        <v>56</v>
      </c>
      <c r="B388" s="10" t="s">
        <v>121</v>
      </c>
      <c r="C388" s="10" t="s">
        <v>3</v>
      </c>
      <c r="D388" s="10" t="s">
        <v>63</v>
      </c>
      <c r="E388" s="10" t="s">
        <v>145</v>
      </c>
      <c r="F388" s="10" t="s">
        <v>167</v>
      </c>
      <c r="G388" s="11">
        <v>238</v>
      </c>
      <c r="H388" s="12">
        <v>37.906371146065162</v>
      </c>
      <c r="I388" s="12">
        <v>33.669523146283851</v>
      </c>
      <c r="J388" s="12">
        <v>60.876736549842043</v>
      </c>
      <c r="K388" s="12"/>
      <c r="L388" s="12">
        <v>9.7508866002525885</v>
      </c>
      <c r="M388" s="12">
        <v>413.21838252396992</v>
      </c>
      <c r="N388" s="12">
        <v>37.0448325083577</v>
      </c>
      <c r="O388" s="12">
        <v>0.97727193050509442</v>
      </c>
      <c r="P388" s="10" t="s">
        <v>168</v>
      </c>
      <c r="Q388" s="12">
        <v>27.18972504049071</v>
      </c>
      <c r="R388" s="12">
        <v>39.906371146065162</v>
      </c>
    </row>
    <row r="389" spans="1:18" ht="32.1" customHeight="1" x14ac:dyDescent="0.25">
      <c r="A389" s="10" t="s">
        <v>56</v>
      </c>
      <c r="B389" s="10" t="s">
        <v>121</v>
      </c>
      <c r="C389" s="10" t="s">
        <v>3</v>
      </c>
      <c r="D389" s="10" t="s">
        <v>63</v>
      </c>
      <c r="E389" s="10" t="s">
        <v>145</v>
      </c>
      <c r="F389" s="10" t="s">
        <v>169</v>
      </c>
      <c r="G389" s="11">
        <v>18</v>
      </c>
      <c r="H389" s="12">
        <v>31.280159662436791</v>
      </c>
      <c r="I389" s="12">
        <v>30.06192204956233</v>
      </c>
      <c r="J389" s="12"/>
      <c r="K389" s="12"/>
      <c r="L389" s="12">
        <v>16.034637613403181</v>
      </c>
      <c r="M389" s="12">
        <v>48.629843302123298</v>
      </c>
      <c r="N389" s="12">
        <v>10.2008187663649</v>
      </c>
      <c r="O389" s="12">
        <v>0.32611146734697438</v>
      </c>
      <c r="P389" s="10" t="s">
        <v>168</v>
      </c>
      <c r="Q389" s="12">
        <v>22.52171495695449</v>
      </c>
      <c r="R389" s="12">
        <v>33.280159662436787</v>
      </c>
    </row>
    <row r="390" spans="1:18" ht="32.1" customHeight="1" x14ac:dyDescent="0.25">
      <c r="A390" s="10" t="s">
        <v>56</v>
      </c>
      <c r="B390" s="10" t="s">
        <v>121</v>
      </c>
      <c r="C390" s="10" t="s">
        <v>3</v>
      </c>
      <c r="D390" s="10" t="s">
        <v>64</v>
      </c>
      <c r="E390" s="10" t="s">
        <v>131</v>
      </c>
      <c r="F390" s="10" t="s">
        <v>167</v>
      </c>
      <c r="G390" s="11">
        <v>176</v>
      </c>
      <c r="H390" s="12">
        <v>66.063111691286153</v>
      </c>
      <c r="I390" s="12">
        <v>58.969205968689273</v>
      </c>
      <c r="J390" s="12">
        <v>103.2067351234445</v>
      </c>
      <c r="K390" s="12"/>
      <c r="L390" s="12">
        <v>19.613717235941522</v>
      </c>
      <c r="M390" s="12">
        <v>1075.3585218441681</v>
      </c>
      <c r="N390" s="12">
        <v>79.750472960699241</v>
      </c>
      <c r="O390" s="12">
        <v>1.2071861424477599</v>
      </c>
      <c r="P390" s="10" t="s">
        <v>168</v>
      </c>
      <c r="Q390" s="12">
        <v>47.567830646534553</v>
      </c>
      <c r="R390" s="12">
        <v>68.063111691286153</v>
      </c>
    </row>
    <row r="391" spans="1:18" ht="32.1" customHeight="1" x14ac:dyDescent="0.25">
      <c r="A391" s="10" t="s">
        <v>56</v>
      </c>
      <c r="B391" s="10" t="s">
        <v>121</v>
      </c>
      <c r="C391" s="10" t="s">
        <v>3</v>
      </c>
      <c r="D391" s="10" t="s">
        <v>64</v>
      </c>
      <c r="E391" s="10" t="s">
        <v>131</v>
      </c>
      <c r="F391" s="10" t="s">
        <v>169</v>
      </c>
      <c r="G391" s="11">
        <v>11</v>
      </c>
      <c r="H391" s="12">
        <v>58.770700745105067</v>
      </c>
      <c r="I391" s="12">
        <v>53.616849945246592</v>
      </c>
      <c r="J391" s="12"/>
      <c r="K391" s="12"/>
      <c r="L391" s="12">
        <v>23.083365380067772</v>
      </c>
      <c r="M391" s="12">
        <v>125.8231853804125</v>
      </c>
      <c r="N391" s="12">
        <v>25.906467240964911</v>
      </c>
      <c r="O391" s="12">
        <v>0.4408058252244445</v>
      </c>
      <c r="P391" s="10" t="s">
        <v>168</v>
      </c>
      <c r="Q391" s="12">
        <v>42.685981794065462</v>
      </c>
      <c r="R391" s="12">
        <v>60.770700745105067</v>
      </c>
    </row>
    <row r="392" spans="1:18" ht="32.1" customHeight="1" x14ac:dyDescent="0.25">
      <c r="A392" s="10" t="s">
        <v>56</v>
      </c>
      <c r="B392" s="10" t="s">
        <v>121</v>
      </c>
      <c r="C392" s="10" t="s">
        <v>3</v>
      </c>
      <c r="D392" s="10" t="s">
        <v>64</v>
      </c>
      <c r="E392" s="10" t="s">
        <v>132</v>
      </c>
      <c r="F392" s="10" t="s">
        <v>167</v>
      </c>
      <c r="G392" s="11">
        <v>181</v>
      </c>
      <c r="H392" s="12">
        <v>55.372408031092441</v>
      </c>
      <c r="I392" s="12">
        <v>49.929307531458207</v>
      </c>
      <c r="J392" s="12">
        <v>98.516179293614655</v>
      </c>
      <c r="K392" s="12"/>
      <c r="L392" s="12">
        <v>19.741413329324349</v>
      </c>
      <c r="M392" s="12">
        <v>128.66967650931491</v>
      </c>
      <c r="N392" s="12">
        <v>22.600122728251041</v>
      </c>
      <c r="O392" s="12">
        <v>0.40814773154818779</v>
      </c>
      <c r="P392" s="10" t="s">
        <v>168</v>
      </c>
      <c r="Q392" s="12">
        <v>39.928690823233708</v>
      </c>
      <c r="R392" s="12">
        <v>57.372408031092426</v>
      </c>
    </row>
    <row r="393" spans="1:18" ht="32.1" customHeight="1" x14ac:dyDescent="0.25">
      <c r="A393" s="10" t="s">
        <v>56</v>
      </c>
      <c r="B393" s="10" t="s">
        <v>121</v>
      </c>
      <c r="C393" s="10" t="s">
        <v>3</v>
      </c>
      <c r="D393" s="10" t="s">
        <v>64</v>
      </c>
      <c r="E393" s="10" t="s">
        <v>132</v>
      </c>
      <c r="F393" s="10" t="s">
        <v>169</v>
      </c>
      <c r="G393" s="11">
        <v>11</v>
      </c>
      <c r="H393" s="12">
        <v>67.381218096572738</v>
      </c>
      <c r="I393" s="12">
        <v>67.37617409678009</v>
      </c>
      <c r="J393" s="12"/>
      <c r="K393" s="12"/>
      <c r="L393" s="12">
        <v>34.1629742428428</v>
      </c>
      <c r="M393" s="12">
        <v>113.42010554713799</v>
      </c>
      <c r="N393" s="12">
        <v>25.68411489952377</v>
      </c>
      <c r="O393" s="12">
        <v>0.38117617379241409</v>
      </c>
      <c r="P393" s="10" t="s">
        <v>168</v>
      </c>
      <c r="Q393" s="12">
        <v>48.514477029532372</v>
      </c>
      <c r="R393" s="12">
        <v>69.381218096572738</v>
      </c>
    </row>
    <row r="394" spans="1:18" ht="32.1" customHeight="1" x14ac:dyDescent="0.25">
      <c r="A394" s="10" t="s">
        <v>56</v>
      </c>
      <c r="B394" s="10" t="s">
        <v>121</v>
      </c>
      <c r="C394" s="10" t="s">
        <v>3</v>
      </c>
      <c r="D394" s="10" t="s">
        <v>64</v>
      </c>
      <c r="E394" s="10" t="s">
        <v>133</v>
      </c>
      <c r="F394" s="10" t="s">
        <v>167</v>
      </c>
      <c r="G394" s="11">
        <v>190</v>
      </c>
      <c r="H394" s="12">
        <v>65.666422738054763</v>
      </c>
      <c r="I394" s="12">
        <v>49.416567403180643</v>
      </c>
      <c r="J394" s="12">
        <v>92.913246881550805</v>
      </c>
      <c r="K394" s="12"/>
      <c r="L394" s="12">
        <v>20.928855753783761</v>
      </c>
      <c r="M394" s="12">
        <v>1093.5823128121699</v>
      </c>
      <c r="N394" s="12">
        <v>110.3549486442418</v>
      </c>
      <c r="O394" s="12">
        <v>1.6805384554668199</v>
      </c>
      <c r="P394" s="10" t="s">
        <v>168</v>
      </c>
      <c r="Q394" s="12">
        <v>47.753817688018152</v>
      </c>
      <c r="R394" s="12">
        <v>67.666422738054763</v>
      </c>
    </row>
    <row r="395" spans="1:18" ht="32.1" customHeight="1" x14ac:dyDescent="0.25">
      <c r="A395" s="10" t="s">
        <v>56</v>
      </c>
      <c r="B395" s="10" t="s">
        <v>121</v>
      </c>
      <c r="C395" s="10" t="s">
        <v>3</v>
      </c>
      <c r="D395" s="10" t="s">
        <v>64</v>
      </c>
      <c r="E395" s="10" t="s">
        <v>133</v>
      </c>
      <c r="F395" s="10" t="s">
        <v>169</v>
      </c>
      <c r="G395" s="11">
        <v>8</v>
      </c>
      <c r="H395" s="12">
        <v>122.81872151073119</v>
      </c>
      <c r="I395" s="12">
        <v>57.052421792274373</v>
      </c>
      <c r="J395" s="12"/>
      <c r="K395" s="12"/>
      <c r="L395" s="12">
        <v>33.309133259879268</v>
      </c>
      <c r="M395" s="12">
        <v>603.82448509090807</v>
      </c>
      <c r="N395" s="12">
        <v>195.02532743241809</v>
      </c>
      <c r="O395" s="12">
        <v>1.587912046579788</v>
      </c>
      <c r="P395" s="10" t="s">
        <v>168</v>
      </c>
      <c r="Q395" s="12">
        <v>88.429479487726439</v>
      </c>
      <c r="R395" s="12">
        <v>124.81872151073119</v>
      </c>
    </row>
    <row r="396" spans="1:18" ht="32.1" customHeight="1" x14ac:dyDescent="0.25">
      <c r="A396" s="10" t="s">
        <v>56</v>
      </c>
      <c r="B396" s="10" t="s">
        <v>121</v>
      </c>
      <c r="C396" s="10" t="s">
        <v>3</v>
      </c>
      <c r="D396" s="10" t="s">
        <v>64</v>
      </c>
      <c r="E396" s="10" t="s">
        <v>134</v>
      </c>
      <c r="F396" s="10" t="s">
        <v>167</v>
      </c>
      <c r="G396" s="11">
        <v>155</v>
      </c>
      <c r="H396" s="12">
        <v>50.463260573143273</v>
      </c>
      <c r="I396" s="12">
        <v>46.483635232280527</v>
      </c>
      <c r="J396" s="12">
        <v>87.017556030205697</v>
      </c>
      <c r="K396" s="12"/>
      <c r="L396" s="12">
        <v>14.688037699686021</v>
      </c>
      <c r="M396" s="12">
        <v>112.2297209894883</v>
      </c>
      <c r="N396" s="12">
        <v>19.525268812062158</v>
      </c>
      <c r="O396" s="12">
        <v>0.38692047620984638</v>
      </c>
      <c r="P396" s="10" t="s">
        <v>168</v>
      </c>
      <c r="Q396" s="12">
        <v>36.473412615688581</v>
      </c>
      <c r="R396" s="12">
        <v>52.463260573143273</v>
      </c>
    </row>
    <row r="397" spans="1:18" ht="32.1" customHeight="1" x14ac:dyDescent="0.25">
      <c r="A397" s="10" t="s">
        <v>56</v>
      </c>
      <c r="B397" s="10" t="s">
        <v>121</v>
      </c>
      <c r="C397" s="10" t="s">
        <v>3</v>
      </c>
      <c r="D397" s="10" t="s">
        <v>64</v>
      </c>
      <c r="E397" s="10" t="s">
        <v>134</v>
      </c>
      <c r="F397" s="10" t="s">
        <v>169</v>
      </c>
      <c r="G397" s="11">
        <v>17</v>
      </c>
      <c r="H397" s="12">
        <v>57.340255073888912</v>
      </c>
      <c r="I397" s="12">
        <v>51.373876383548151</v>
      </c>
      <c r="J397" s="12"/>
      <c r="K397" s="12"/>
      <c r="L397" s="12">
        <v>27.31746126531786</v>
      </c>
      <c r="M397" s="12">
        <v>118.60000125285229</v>
      </c>
      <c r="N397" s="12">
        <v>21.41597633731773</v>
      </c>
      <c r="O397" s="12">
        <v>0.37348938036151041</v>
      </c>
      <c r="P397" s="10" t="s">
        <v>168</v>
      </c>
      <c r="Q397" s="12">
        <v>42.079641372815871</v>
      </c>
      <c r="R397" s="12">
        <v>59.340255073888912</v>
      </c>
    </row>
    <row r="398" spans="1:18" ht="32.1" customHeight="1" x14ac:dyDescent="0.25">
      <c r="A398" s="10" t="s">
        <v>56</v>
      </c>
      <c r="B398" s="10" t="s">
        <v>121</v>
      </c>
      <c r="C398" s="10" t="s">
        <v>3</v>
      </c>
      <c r="D398" s="10" t="s">
        <v>64</v>
      </c>
      <c r="E398" s="10" t="s">
        <v>135</v>
      </c>
      <c r="F398" s="10" t="s">
        <v>167</v>
      </c>
      <c r="G398" s="11">
        <v>174</v>
      </c>
      <c r="H398" s="12">
        <v>71.004895332878036</v>
      </c>
      <c r="I398" s="12">
        <v>61.210861704709743</v>
      </c>
      <c r="J398" s="12">
        <v>104.6982672242151</v>
      </c>
      <c r="K398" s="12"/>
      <c r="L398" s="12">
        <v>22.470658881336249</v>
      </c>
      <c r="M398" s="12">
        <v>1215.290029598295</v>
      </c>
      <c r="N398" s="12">
        <v>90.002359321818858</v>
      </c>
      <c r="O398" s="12">
        <v>1.267551468104823</v>
      </c>
      <c r="P398" s="10" t="s">
        <v>168</v>
      </c>
      <c r="Q398" s="12">
        <v>51.214084917333679</v>
      </c>
      <c r="R398" s="12">
        <v>73.004895332878036</v>
      </c>
    </row>
    <row r="399" spans="1:18" ht="32.1" customHeight="1" x14ac:dyDescent="0.25">
      <c r="A399" s="10" t="s">
        <v>56</v>
      </c>
      <c r="B399" s="10" t="s">
        <v>121</v>
      </c>
      <c r="C399" s="10" t="s">
        <v>3</v>
      </c>
      <c r="D399" s="10" t="s">
        <v>64</v>
      </c>
      <c r="E399" s="10" t="s">
        <v>135</v>
      </c>
      <c r="F399" s="10" t="s">
        <v>169</v>
      </c>
      <c r="G399" s="11">
        <v>11</v>
      </c>
      <c r="H399" s="12">
        <v>68.794157742687744</v>
      </c>
      <c r="I399" s="12">
        <v>70.023231433360976</v>
      </c>
      <c r="J399" s="12"/>
      <c r="K399" s="12"/>
      <c r="L399" s="12">
        <v>26.464998965416392</v>
      </c>
      <c r="M399" s="12">
        <v>117.3752049803948</v>
      </c>
      <c r="N399" s="12">
        <v>24.530205406852922</v>
      </c>
      <c r="O399" s="12">
        <v>0.35657396226295512</v>
      </c>
      <c r="P399" s="10" t="s">
        <v>168</v>
      </c>
      <c r="Q399" s="12">
        <v>49.284779859930737</v>
      </c>
      <c r="R399" s="12">
        <v>70.794157742687744</v>
      </c>
    </row>
    <row r="400" spans="1:18" ht="32.1" customHeight="1" x14ac:dyDescent="0.25">
      <c r="A400" s="10" t="s">
        <v>56</v>
      </c>
      <c r="B400" s="10" t="s">
        <v>121</v>
      </c>
      <c r="C400" s="10" t="s">
        <v>3</v>
      </c>
      <c r="D400" s="10" t="s">
        <v>64</v>
      </c>
      <c r="E400" s="10" t="s">
        <v>136</v>
      </c>
      <c r="F400" s="10" t="s">
        <v>167</v>
      </c>
      <c r="G400" s="11">
        <v>17</v>
      </c>
      <c r="H400" s="12">
        <v>53.721798827219928</v>
      </c>
      <c r="I400" s="12">
        <v>48.065959562208022</v>
      </c>
      <c r="J400" s="12"/>
      <c r="K400" s="12"/>
      <c r="L400" s="12">
        <v>23.191718717792408</v>
      </c>
      <c r="M400" s="12">
        <v>115.7507941264596</v>
      </c>
      <c r="N400" s="12">
        <v>23.023605495719291</v>
      </c>
      <c r="O400" s="12">
        <v>0.42857100838651763</v>
      </c>
      <c r="P400" s="10" t="s">
        <v>168</v>
      </c>
      <c r="Q400" s="12">
        <v>38.679695155598353</v>
      </c>
      <c r="R400" s="12">
        <v>55.721798827219928</v>
      </c>
    </row>
    <row r="401" spans="1:18" ht="32.1" customHeight="1" x14ac:dyDescent="0.25">
      <c r="A401" s="10" t="s">
        <v>56</v>
      </c>
      <c r="B401" s="10" t="s">
        <v>121</v>
      </c>
      <c r="C401" s="10" t="s">
        <v>3</v>
      </c>
      <c r="D401" s="10" t="s">
        <v>64</v>
      </c>
      <c r="E401" s="10" t="s">
        <v>136</v>
      </c>
      <c r="F401" s="10" t="s">
        <v>169</v>
      </c>
      <c r="G401" s="11">
        <v>2</v>
      </c>
      <c r="H401" s="12">
        <v>40.70152062801899</v>
      </c>
      <c r="I401" s="12">
        <v>40.70152062801899</v>
      </c>
      <c r="J401" s="12"/>
      <c r="K401" s="12"/>
      <c r="L401" s="12">
        <v>25.375459059839891</v>
      </c>
      <c r="M401" s="12">
        <v>56.027582196198097</v>
      </c>
      <c r="N401" s="12">
        <v>21.67432412748396</v>
      </c>
      <c r="O401" s="12">
        <v>0.53251878045468692</v>
      </c>
      <c r="P401" s="10" t="s">
        <v>168</v>
      </c>
      <c r="Q401" s="12">
        <v>29.305094852173671</v>
      </c>
      <c r="R401" s="12">
        <v>42.70152062801899</v>
      </c>
    </row>
    <row r="402" spans="1:18" ht="32.1" customHeight="1" x14ac:dyDescent="0.25">
      <c r="A402" s="10" t="s">
        <v>56</v>
      </c>
      <c r="B402" s="10" t="s">
        <v>121</v>
      </c>
      <c r="C402" s="10" t="s">
        <v>3</v>
      </c>
      <c r="D402" s="10" t="s">
        <v>64</v>
      </c>
      <c r="E402" s="10" t="s">
        <v>137</v>
      </c>
      <c r="F402" s="10" t="s">
        <v>167</v>
      </c>
      <c r="G402" s="11">
        <v>20</v>
      </c>
      <c r="H402" s="12">
        <v>55.709140790537063</v>
      </c>
      <c r="I402" s="12">
        <v>51.017752593689139</v>
      </c>
      <c r="J402" s="12">
        <v>77.181878484309351</v>
      </c>
      <c r="K402" s="12"/>
      <c r="L402" s="12">
        <v>29.663354885620091</v>
      </c>
      <c r="M402" s="12">
        <v>112.8831939787222</v>
      </c>
      <c r="N402" s="12">
        <v>19.382237849589369</v>
      </c>
      <c r="O402" s="12">
        <v>0.34791844883168072</v>
      </c>
      <c r="P402" s="10" t="s">
        <v>168</v>
      </c>
      <c r="Q402" s="12">
        <v>39.437009986750333</v>
      </c>
      <c r="R402" s="12">
        <v>57.70914079053707</v>
      </c>
    </row>
    <row r="403" spans="1:18" ht="32.1" customHeight="1" x14ac:dyDescent="0.25">
      <c r="A403" s="10" t="s">
        <v>56</v>
      </c>
      <c r="B403" s="10" t="s">
        <v>121</v>
      </c>
      <c r="C403" s="10" t="s">
        <v>3</v>
      </c>
      <c r="D403" s="10" t="s">
        <v>64</v>
      </c>
      <c r="E403" s="10" t="s">
        <v>138</v>
      </c>
      <c r="F403" s="10" t="s">
        <v>167</v>
      </c>
      <c r="G403" s="11">
        <v>21</v>
      </c>
      <c r="H403" s="12">
        <v>46.943611975289457</v>
      </c>
      <c r="I403" s="12">
        <v>46.727050629674693</v>
      </c>
      <c r="J403" s="12">
        <v>65.201401331523329</v>
      </c>
      <c r="K403" s="12"/>
      <c r="L403" s="12">
        <v>21.637638383200009</v>
      </c>
      <c r="M403" s="12">
        <v>76.215989545556837</v>
      </c>
      <c r="N403" s="12">
        <v>13.49481790851733</v>
      </c>
      <c r="O403" s="12">
        <v>0.28746867445182611</v>
      </c>
      <c r="P403" s="10" t="s">
        <v>168</v>
      </c>
      <c r="Q403" s="12">
        <v>33.571692589929093</v>
      </c>
      <c r="R403" s="12">
        <v>48.943611975289457</v>
      </c>
    </row>
    <row r="404" spans="1:18" ht="32.1" customHeight="1" x14ac:dyDescent="0.25">
      <c r="A404" s="10" t="s">
        <v>56</v>
      </c>
      <c r="B404" s="10" t="s">
        <v>121</v>
      </c>
      <c r="C404" s="10" t="s">
        <v>3</v>
      </c>
      <c r="D404" s="10" t="s">
        <v>64</v>
      </c>
      <c r="E404" s="10" t="s">
        <v>138</v>
      </c>
      <c r="F404" s="10" t="s">
        <v>169</v>
      </c>
      <c r="G404" s="11">
        <v>1</v>
      </c>
      <c r="H404" s="12">
        <v>41.31596685196331</v>
      </c>
      <c r="I404" s="12">
        <v>41.31596685196331</v>
      </c>
      <c r="J404" s="12"/>
      <c r="K404" s="12"/>
      <c r="L404" s="12">
        <v>41.31596685196331</v>
      </c>
      <c r="M404" s="12">
        <v>41.31596685196331</v>
      </c>
      <c r="N404" s="12"/>
      <c r="O404" s="12"/>
      <c r="P404" s="10" t="s">
        <v>168</v>
      </c>
      <c r="Q404" s="12">
        <v>29.747496133413581</v>
      </c>
      <c r="R404" s="12">
        <v>43.31596685196331</v>
      </c>
    </row>
    <row r="405" spans="1:18" ht="32.1" customHeight="1" x14ac:dyDescent="0.25">
      <c r="A405" s="10" t="s">
        <v>56</v>
      </c>
      <c r="B405" s="10" t="s">
        <v>121</v>
      </c>
      <c r="C405" s="10" t="s">
        <v>3</v>
      </c>
      <c r="D405" s="10" t="s">
        <v>64</v>
      </c>
      <c r="E405" s="10" t="s">
        <v>139</v>
      </c>
      <c r="F405" s="10" t="s">
        <v>167</v>
      </c>
      <c r="G405" s="11">
        <v>11</v>
      </c>
      <c r="H405" s="12">
        <v>62.903255183425813</v>
      </c>
      <c r="I405" s="12">
        <v>61.668139789757433</v>
      </c>
      <c r="J405" s="12"/>
      <c r="K405" s="12"/>
      <c r="L405" s="12">
        <v>20.60037516866208</v>
      </c>
      <c r="M405" s="12">
        <v>122.6121841353557</v>
      </c>
      <c r="N405" s="12">
        <v>27.241456254507039</v>
      </c>
      <c r="O405" s="12">
        <v>0.43306910230751949</v>
      </c>
      <c r="P405" s="10" t="s">
        <v>168</v>
      </c>
      <c r="Q405" s="12">
        <v>45.290343732066567</v>
      </c>
      <c r="R405" s="12">
        <v>64.903255183425799</v>
      </c>
    </row>
    <row r="406" spans="1:18" ht="32.1" customHeight="1" x14ac:dyDescent="0.25">
      <c r="A406" s="10" t="s">
        <v>56</v>
      </c>
      <c r="B406" s="10" t="s">
        <v>121</v>
      </c>
      <c r="C406" s="10" t="s">
        <v>3</v>
      </c>
      <c r="D406" s="10" t="s">
        <v>64</v>
      </c>
      <c r="E406" s="10" t="s">
        <v>140</v>
      </c>
      <c r="F406" s="10" t="s">
        <v>167</v>
      </c>
      <c r="G406" s="11">
        <v>22</v>
      </c>
      <c r="H406" s="12">
        <v>54.414786072738977</v>
      </c>
      <c r="I406" s="12">
        <v>52.762075753614319</v>
      </c>
      <c r="J406" s="12">
        <v>82.071431632390201</v>
      </c>
      <c r="K406" s="12"/>
      <c r="L406" s="12">
        <v>20.821327740537281</v>
      </c>
      <c r="M406" s="12">
        <v>110.0633695608288</v>
      </c>
      <c r="N406" s="12">
        <v>19.114558128371389</v>
      </c>
      <c r="O406" s="12">
        <v>0.3512750762783482</v>
      </c>
      <c r="P406" s="10" t="s">
        <v>168</v>
      </c>
      <c r="Q406" s="12">
        <v>39.17864597237206</v>
      </c>
      <c r="R406" s="12">
        <v>56.414786072738977</v>
      </c>
    </row>
    <row r="407" spans="1:18" ht="32.1" customHeight="1" x14ac:dyDescent="0.25">
      <c r="A407" s="10" t="s">
        <v>56</v>
      </c>
      <c r="B407" s="10" t="s">
        <v>121</v>
      </c>
      <c r="C407" s="10" t="s">
        <v>3</v>
      </c>
      <c r="D407" s="10" t="s">
        <v>64</v>
      </c>
      <c r="E407" s="10" t="s">
        <v>140</v>
      </c>
      <c r="F407" s="10" t="s">
        <v>169</v>
      </c>
      <c r="G407" s="11">
        <v>2</v>
      </c>
      <c r="H407" s="12">
        <v>60.231550083384413</v>
      </c>
      <c r="I407" s="12">
        <v>60.231550083384413</v>
      </c>
      <c r="J407" s="12"/>
      <c r="K407" s="12"/>
      <c r="L407" s="12">
        <v>57.636548515108693</v>
      </c>
      <c r="M407" s="12">
        <v>62.826551651660111</v>
      </c>
      <c r="N407" s="12">
        <v>3.669886412234959</v>
      </c>
      <c r="O407" s="12">
        <v>6.0929635832954201E-2</v>
      </c>
      <c r="P407" s="10" t="s">
        <v>168</v>
      </c>
      <c r="Q407" s="12">
        <v>43.366716060036772</v>
      </c>
      <c r="R407" s="12">
        <v>62.231550083384413</v>
      </c>
    </row>
    <row r="408" spans="1:18" ht="32.1" customHeight="1" x14ac:dyDescent="0.25">
      <c r="A408" s="10" t="s">
        <v>56</v>
      </c>
      <c r="B408" s="10" t="s">
        <v>121</v>
      </c>
      <c r="C408" s="10" t="s">
        <v>3</v>
      </c>
      <c r="D408" s="10" t="s">
        <v>64</v>
      </c>
      <c r="E408" s="10" t="s">
        <v>141</v>
      </c>
      <c r="F408" s="10" t="s">
        <v>167</v>
      </c>
      <c r="G408" s="11">
        <v>61</v>
      </c>
      <c r="H408" s="12">
        <v>49.882390714962817</v>
      </c>
      <c r="I408" s="12">
        <v>47.731627965313287</v>
      </c>
      <c r="J408" s="12">
        <v>80.235761151424654</v>
      </c>
      <c r="K408" s="12"/>
      <c r="L408" s="12">
        <v>26.065850577481569</v>
      </c>
      <c r="M408" s="12">
        <v>91.494557559485145</v>
      </c>
      <c r="N408" s="12">
        <v>15.89287635258313</v>
      </c>
      <c r="O408" s="12">
        <v>0.31860694976305282</v>
      </c>
      <c r="P408" s="10" t="s">
        <v>168</v>
      </c>
      <c r="Q408" s="12">
        <v>35.686087382389601</v>
      </c>
      <c r="R408" s="12">
        <v>51.882390714962817</v>
      </c>
    </row>
    <row r="409" spans="1:18" ht="32.1" customHeight="1" x14ac:dyDescent="0.25">
      <c r="A409" s="10" t="s">
        <v>56</v>
      </c>
      <c r="B409" s="10" t="s">
        <v>121</v>
      </c>
      <c r="C409" s="10" t="s">
        <v>3</v>
      </c>
      <c r="D409" s="10" t="s">
        <v>64</v>
      </c>
      <c r="E409" s="10" t="s">
        <v>141</v>
      </c>
      <c r="F409" s="10" t="s">
        <v>169</v>
      </c>
      <c r="G409" s="11">
        <v>3</v>
      </c>
      <c r="H409" s="12">
        <v>39.94677481786723</v>
      </c>
      <c r="I409" s="12">
        <v>39.41185810906763</v>
      </c>
      <c r="J409" s="12"/>
      <c r="K409" s="12"/>
      <c r="L409" s="12">
        <v>36.658685814235561</v>
      </c>
      <c r="M409" s="12">
        <v>43.76978053029849</v>
      </c>
      <c r="N409" s="12">
        <v>3.5855988243554622</v>
      </c>
      <c r="O409" s="12">
        <v>8.9759407128700397E-2</v>
      </c>
      <c r="P409" s="10" t="s">
        <v>168</v>
      </c>
      <c r="Q409" s="12">
        <v>28.7616778688644</v>
      </c>
      <c r="R409" s="12">
        <v>41.94677481786723</v>
      </c>
    </row>
    <row r="410" spans="1:18" ht="32.1" customHeight="1" x14ac:dyDescent="0.25">
      <c r="A410" s="10" t="s">
        <v>56</v>
      </c>
      <c r="B410" s="10" t="s">
        <v>121</v>
      </c>
      <c r="C410" s="10" t="s">
        <v>3</v>
      </c>
      <c r="D410" s="10" t="s">
        <v>64</v>
      </c>
      <c r="E410" s="10" t="s">
        <v>142</v>
      </c>
      <c r="F410" s="10" t="s">
        <v>167</v>
      </c>
      <c r="G410" s="11">
        <v>75</v>
      </c>
      <c r="H410" s="12">
        <v>64.344235083519422</v>
      </c>
      <c r="I410" s="12">
        <v>56.688683505204381</v>
      </c>
      <c r="J410" s="12">
        <v>116.6383451387418</v>
      </c>
      <c r="K410" s="12"/>
      <c r="L410" s="12">
        <v>22.957982942878068</v>
      </c>
      <c r="M410" s="12">
        <v>142.7832835192458</v>
      </c>
      <c r="N410" s="12">
        <v>27.060440871667591</v>
      </c>
      <c r="O410" s="12">
        <v>0.420557348090981</v>
      </c>
      <c r="P410" s="10" t="s">
        <v>168</v>
      </c>
      <c r="Q410" s="12">
        <v>46.789136547223158</v>
      </c>
      <c r="R410" s="12">
        <v>66.344235083519422</v>
      </c>
    </row>
    <row r="411" spans="1:18" ht="32.1" customHeight="1" x14ac:dyDescent="0.25">
      <c r="A411" s="10" t="s">
        <v>56</v>
      </c>
      <c r="B411" s="10" t="s">
        <v>121</v>
      </c>
      <c r="C411" s="10" t="s">
        <v>3</v>
      </c>
      <c r="D411" s="10" t="s">
        <v>64</v>
      </c>
      <c r="E411" s="10" t="s">
        <v>142</v>
      </c>
      <c r="F411" s="10" t="s">
        <v>169</v>
      </c>
      <c r="G411" s="11">
        <v>10</v>
      </c>
      <c r="H411" s="12">
        <v>65.322775540849207</v>
      </c>
      <c r="I411" s="12">
        <v>56.452880020586413</v>
      </c>
      <c r="J411" s="12"/>
      <c r="K411" s="12"/>
      <c r="L411" s="12">
        <v>38.177938076997947</v>
      </c>
      <c r="M411" s="12">
        <v>102.31488605861141</v>
      </c>
      <c r="N411" s="12">
        <v>26.920235983730571</v>
      </c>
      <c r="O411" s="12">
        <v>0.41211102499611579</v>
      </c>
      <c r="P411" s="10" t="s">
        <v>168</v>
      </c>
      <c r="Q411" s="12">
        <v>47.032398389411419</v>
      </c>
      <c r="R411" s="12">
        <v>67.322775540849207</v>
      </c>
    </row>
    <row r="412" spans="1:18" ht="32.1" customHeight="1" x14ac:dyDescent="0.25">
      <c r="A412" s="10" t="s">
        <v>56</v>
      </c>
      <c r="B412" s="10" t="s">
        <v>121</v>
      </c>
      <c r="C412" s="10" t="s">
        <v>3</v>
      </c>
      <c r="D412" s="10" t="s">
        <v>64</v>
      </c>
      <c r="E412" s="10" t="s">
        <v>143</v>
      </c>
      <c r="F412" s="10" t="s">
        <v>167</v>
      </c>
      <c r="G412" s="11">
        <v>82</v>
      </c>
      <c r="H412" s="12">
        <v>51.072486572975542</v>
      </c>
      <c r="I412" s="12">
        <v>41.063845121946343</v>
      </c>
      <c r="J412" s="12">
        <v>81.322989209020577</v>
      </c>
      <c r="K412" s="12"/>
      <c r="L412" s="12">
        <v>14.06373689895887</v>
      </c>
      <c r="M412" s="12">
        <v>615.89542180649357</v>
      </c>
      <c r="N412" s="12">
        <v>65.96649357211453</v>
      </c>
      <c r="O412" s="12">
        <v>1.2916248649428399</v>
      </c>
      <c r="P412" s="10" t="s">
        <v>168</v>
      </c>
      <c r="Q412" s="12">
        <v>37.087090222062301</v>
      </c>
      <c r="R412" s="12">
        <v>53.072486572975542</v>
      </c>
    </row>
    <row r="413" spans="1:18" ht="32.1" customHeight="1" x14ac:dyDescent="0.25">
      <c r="A413" s="10" t="s">
        <v>56</v>
      </c>
      <c r="B413" s="10" t="s">
        <v>121</v>
      </c>
      <c r="C413" s="10" t="s">
        <v>3</v>
      </c>
      <c r="D413" s="10" t="s">
        <v>64</v>
      </c>
      <c r="E413" s="10" t="s">
        <v>143</v>
      </c>
      <c r="F413" s="10" t="s">
        <v>169</v>
      </c>
      <c r="G413" s="11">
        <v>4</v>
      </c>
      <c r="H413" s="12">
        <v>46.969769423744481</v>
      </c>
      <c r="I413" s="12">
        <v>50.311553749798442</v>
      </c>
      <c r="J413" s="12"/>
      <c r="K413" s="12"/>
      <c r="L413" s="12">
        <v>21.452245477581691</v>
      </c>
      <c r="M413" s="12">
        <v>65.803724717799327</v>
      </c>
      <c r="N413" s="12">
        <v>20.098582629140669</v>
      </c>
      <c r="O413" s="12">
        <v>0.42790464751526541</v>
      </c>
      <c r="P413" s="10" t="s">
        <v>168</v>
      </c>
      <c r="Q413" s="12">
        <v>33.818233985096022</v>
      </c>
      <c r="R413" s="12">
        <v>48.969769423744481</v>
      </c>
    </row>
    <row r="414" spans="1:18" ht="32.1" customHeight="1" x14ac:dyDescent="0.25">
      <c r="A414" s="10" t="s">
        <v>56</v>
      </c>
      <c r="B414" s="10" t="s">
        <v>121</v>
      </c>
      <c r="C414" s="10" t="s">
        <v>3</v>
      </c>
      <c r="D414" s="10" t="s">
        <v>64</v>
      </c>
      <c r="E414" s="10" t="s">
        <v>144</v>
      </c>
      <c r="F414" s="10" t="s">
        <v>167</v>
      </c>
      <c r="G414" s="11">
        <v>57</v>
      </c>
      <c r="H414" s="12">
        <v>62.512121755860584</v>
      </c>
      <c r="I414" s="12">
        <v>50.258961492563692</v>
      </c>
      <c r="J414" s="12">
        <v>100.89730177328271</v>
      </c>
      <c r="K414" s="12"/>
      <c r="L414" s="12">
        <v>21.384927014098899</v>
      </c>
      <c r="M414" s="12">
        <v>516.88134230558171</v>
      </c>
      <c r="N414" s="12">
        <v>65.040750592252849</v>
      </c>
      <c r="O414" s="12">
        <v>1.0404502161399629</v>
      </c>
      <c r="P414" s="10" t="s">
        <v>168</v>
      </c>
      <c r="Q414" s="12">
        <v>45.222677633780762</v>
      </c>
      <c r="R414" s="12">
        <v>64.512121755860576</v>
      </c>
    </row>
    <row r="415" spans="1:18" ht="32.1" customHeight="1" x14ac:dyDescent="0.25">
      <c r="A415" s="10" t="s">
        <v>56</v>
      </c>
      <c r="B415" s="10" t="s">
        <v>121</v>
      </c>
      <c r="C415" s="10" t="s">
        <v>3</v>
      </c>
      <c r="D415" s="10" t="s">
        <v>64</v>
      </c>
      <c r="E415" s="10" t="s">
        <v>144</v>
      </c>
      <c r="F415" s="10" t="s">
        <v>169</v>
      </c>
      <c r="G415" s="11">
        <v>5</v>
      </c>
      <c r="H415" s="12">
        <v>46.902520864732011</v>
      </c>
      <c r="I415" s="12">
        <v>44.663329898303012</v>
      </c>
      <c r="J415" s="12"/>
      <c r="K415" s="12"/>
      <c r="L415" s="12">
        <v>32.408710943985938</v>
      </c>
      <c r="M415" s="12">
        <v>60.762334372060209</v>
      </c>
      <c r="N415" s="12">
        <v>10.82385754673348</v>
      </c>
      <c r="O415" s="12">
        <v>0.23077347117332439</v>
      </c>
      <c r="P415" s="10" t="s">
        <v>168</v>
      </c>
      <c r="Q415" s="12">
        <v>33.769815022607048</v>
      </c>
      <c r="R415" s="12">
        <v>48.902520864732011</v>
      </c>
    </row>
    <row r="416" spans="1:18" ht="32.1" customHeight="1" x14ac:dyDescent="0.25">
      <c r="A416" s="10" t="s">
        <v>56</v>
      </c>
      <c r="B416" s="10" t="s">
        <v>121</v>
      </c>
      <c r="C416" s="10" t="s">
        <v>3</v>
      </c>
      <c r="D416" s="10" t="s">
        <v>64</v>
      </c>
      <c r="E416" s="10" t="s">
        <v>145</v>
      </c>
      <c r="F416" s="10" t="s">
        <v>167</v>
      </c>
      <c r="G416" s="11">
        <v>58</v>
      </c>
      <c r="H416" s="12">
        <v>42.879774797102897</v>
      </c>
      <c r="I416" s="12">
        <v>40.82070633336113</v>
      </c>
      <c r="J416" s="12">
        <v>68.06507454595662</v>
      </c>
      <c r="K416" s="12"/>
      <c r="L416" s="12">
        <v>18.298861892212951</v>
      </c>
      <c r="M416" s="12">
        <v>82.281677606900345</v>
      </c>
      <c r="N416" s="12">
        <v>13.94361150231911</v>
      </c>
      <c r="O416" s="12">
        <v>0.32517921486987811</v>
      </c>
      <c r="P416" s="10" t="s">
        <v>168</v>
      </c>
      <c r="Q416" s="12">
        <v>31.074244091552789</v>
      </c>
      <c r="R416" s="12">
        <v>44.879774797102897</v>
      </c>
    </row>
    <row r="417" spans="1:18" ht="32.1" customHeight="1" x14ac:dyDescent="0.25">
      <c r="A417" s="10" t="s">
        <v>56</v>
      </c>
      <c r="B417" s="10" t="s">
        <v>121</v>
      </c>
      <c r="C417" s="10" t="s">
        <v>3</v>
      </c>
      <c r="D417" s="10" t="s">
        <v>64</v>
      </c>
      <c r="E417" s="10" t="s">
        <v>145</v>
      </c>
      <c r="F417" s="10" t="s">
        <v>169</v>
      </c>
      <c r="G417" s="11">
        <v>3</v>
      </c>
      <c r="H417" s="12">
        <v>182.5825037031583</v>
      </c>
      <c r="I417" s="12">
        <v>33.095074546258573</v>
      </c>
      <c r="J417" s="12"/>
      <c r="K417" s="12"/>
      <c r="L417" s="12">
        <v>28.3442017048732</v>
      </c>
      <c r="M417" s="12">
        <v>486.30823485834298</v>
      </c>
      <c r="N417" s="12">
        <v>263.04492491303159</v>
      </c>
      <c r="O417" s="12">
        <v>1.440690753921793</v>
      </c>
      <c r="P417" s="10" t="s">
        <v>168</v>
      </c>
      <c r="Q417" s="12">
        <v>131.45940266627389</v>
      </c>
      <c r="R417" s="12">
        <v>184.5825037031583</v>
      </c>
    </row>
  </sheetData>
  <mergeCells count="3">
    <mergeCell ref="A3:R3"/>
    <mergeCell ref="A2:R2"/>
    <mergeCell ref="A1:R1"/>
  </mergeCells>
  <pageMargins left="0.75" right="0.75" top="1" bottom="1" header="0.5" footer="0.5"/>
  <pageSetup paperSize="8" fitToHeight="0" orientation="landscape"/>
  <headerFooter>
    <oddFooter>&amp;CDEMO | &amp;A | &amp;P / &amp;N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80"/>
  <sheetViews>
    <sheetView showGridLines="0"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6" customWidth="1"/>
    <col min="2" max="2" width="42" customWidth="1"/>
    <col min="3" max="15" width="26" customWidth="1"/>
  </cols>
  <sheetData>
    <row r="1" spans="1:15" ht="33.950000000000003" customHeight="1" x14ac:dyDescent="0.25">
      <c r="A1" s="25" t="s">
        <v>171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15" ht="30" customHeight="1" x14ac:dyDescent="0.25">
      <c r="A2" s="21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</row>
    <row r="3" spans="1:15" ht="30" customHeight="1" x14ac:dyDescent="0.25">
      <c r="A3" s="26" t="s">
        <v>172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</row>
    <row r="5" spans="1:15" ht="36" customHeight="1" x14ac:dyDescent="0.25">
      <c r="A5" s="2" t="s">
        <v>22</v>
      </c>
      <c r="B5" s="2" t="s">
        <v>23</v>
      </c>
      <c r="C5" s="2" t="s">
        <v>24</v>
      </c>
      <c r="D5" s="2" t="s">
        <v>25</v>
      </c>
      <c r="E5" s="2" t="s">
        <v>53</v>
      </c>
      <c r="F5" s="2" t="s">
        <v>173</v>
      </c>
      <c r="G5" s="2" t="s">
        <v>174</v>
      </c>
      <c r="H5" s="2" t="s">
        <v>175</v>
      </c>
      <c r="I5" s="2" t="s">
        <v>176</v>
      </c>
      <c r="J5" s="2" t="s">
        <v>177</v>
      </c>
      <c r="K5" s="2" t="s">
        <v>178</v>
      </c>
      <c r="L5" s="2" t="s">
        <v>179</v>
      </c>
      <c r="M5" s="2" t="s">
        <v>180</v>
      </c>
      <c r="N5" s="2" t="s">
        <v>181</v>
      </c>
      <c r="O5" s="2" t="s">
        <v>182</v>
      </c>
    </row>
    <row r="6" spans="1:15" ht="32.1" customHeight="1" x14ac:dyDescent="0.25">
      <c r="A6" s="10" t="s">
        <v>56</v>
      </c>
      <c r="B6" s="10" t="s">
        <v>57</v>
      </c>
      <c r="C6" s="10" t="s">
        <v>58</v>
      </c>
      <c r="D6" s="10" t="s">
        <v>59</v>
      </c>
      <c r="E6" s="10" t="s">
        <v>183</v>
      </c>
      <c r="F6" s="12">
        <v>54</v>
      </c>
      <c r="G6" s="12">
        <v>0</v>
      </c>
      <c r="H6" s="12">
        <v>54</v>
      </c>
      <c r="I6" s="12">
        <v>1</v>
      </c>
      <c r="J6" s="12">
        <v>2</v>
      </c>
      <c r="K6" s="12">
        <v>106</v>
      </c>
      <c r="L6" s="12">
        <v>60</v>
      </c>
      <c r="M6" s="10" t="s">
        <v>184</v>
      </c>
      <c r="N6" s="10" t="s">
        <v>185</v>
      </c>
      <c r="O6" s="10" t="s">
        <v>185</v>
      </c>
    </row>
    <row r="7" spans="1:15" ht="32.1" customHeight="1" x14ac:dyDescent="0.25">
      <c r="A7" s="10" t="s">
        <v>56</v>
      </c>
      <c r="B7" s="10" t="s">
        <v>65</v>
      </c>
      <c r="C7" s="10" t="s">
        <v>58</v>
      </c>
      <c r="D7" s="10" t="s">
        <v>59</v>
      </c>
      <c r="E7" s="10" t="s">
        <v>183</v>
      </c>
      <c r="F7" s="12">
        <v>54</v>
      </c>
      <c r="G7" s="12">
        <v>0</v>
      </c>
      <c r="H7" s="12">
        <v>54</v>
      </c>
      <c r="I7" s="12">
        <v>1</v>
      </c>
      <c r="J7" s="12">
        <v>2</v>
      </c>
      <c r="K7" s="12">
        <v>106</v>
      </c>
      <c r="L7" s="12">
        <v>60</v>
      </c>
      <c r="M7" s="10" t="s">
        <v>186</v>
      </c>
      <c r="N7" s="10" t="s">
        <v>187</v>
      </c>
      <c r="O7" s="10" t="s">
        <v>187</v>
      </c>
    </row>
    <row r="8" spans="1:15" ht="32.1" customHeight="1" x14ac:dyDescent="0.25">
      <c r="A8" s="10" t="s">
        <v>56</v>
      </c>
      <c r="B8" s="10" t="s">
        <v>66</v>
      </c>
      <c r="C8" s="10" t="s">
        <v>58</v>
      </c>
      <c r="D8" s="10" t="s">
        <v>59</v>
      </c>
      <c r="E8" s="10" t="s">
        <v>183</v>
      </c>
      <c r="F8" s="12">
        <v>54</v>
      </c>
      <c r="G8" s="12">
        <v>0</v>
      </c>
      <c r="H8" s="12">
        <v>54</v>
      </c>
      <c r="I8" s="12">
        <v>1</v>
      </c>
      <c r="J8" s="12">
        <v>2</v>
      </c>
      <c r="K8" s="12">
        <v>106</v>
      </c>
      <c r="L8" s="12">
        <v>60</v>
      </c>
      <c r="M8" s="10" t="s">
        <v>188</v>
      </c>
      <c r="N8" s="10" t="s">
        <v>189</v>
      </c>
      <c r="O8" s="10" t="s">
        <v>189</v>
      </c>
    </row>
    <row r="9" spans="1:15" ht="32.1" customHeight="1" x14ac:dyDescent="0.25">
      <c r="A9" s="10" t="s">
        <v>56</v>
      </c>
      <c r="B9" s="10" t="s">
        <v>67</v>
      </c>
      <c r="C9" s="10" t="s">
        <v>58</v>
      </c>
      <c r="D9" s="10" t="s">
        <v>59</v>
      </c>
      <c r="E9" s="10" t="s">
        <v>183</v>
      </c>
      <c r="F9" s="12">
        <v>54</v>
      </c>
      <c r="G9" s="12">
        <v>0</v>
      </c>
      <c r="H9" s="12">
        <v>54</v>
      </c>
      <c r="I9" s="12">
        <v>1</v>
      </c>
      <c r="J9" s="12">
        <v>2</v>
      </c>
      <c r="K9" s="12">
        <v>106</v>
      </c>
      <c r="L9" s="12">
        <v>60</v>
      </c>
      <c r="M9" s="10" t="s">
        <v>190</v>
      </c>
      <c r="N9" s="10" t="s">
        <v>191</v>
      </c>
      <c r="O9" s="10" t="s">
        <v>191</v>
      </c>
    </row>
    <row r="10" spans="1:15" ht="32.1" customHeight="1" x14ac:dyDescent="0.25">
      <c r="A10" s="10" t="s">
        <v>56</v>
      </c>
      <c r="B10" s="10" t="s">
        <v>68</v>
      </c>
      <c r="C10" s="10" t="s">
        <v>58</v>
      </c>
      <c r="D10" s="10" t="s">
        <v>59</v>
      </c>
      <c r="E10" s="10" t="s">
        <v>183</v>
      </c>
      <c r="F10" s="12">
        <v>54</v>
      </c>
      <c r="G10" s="12">
        <v>0</v>
      </c>
      <c r="H10" s="12">
        <v>54</v>
      </c>
      <c r="I10" s="12">
        <v>1</v>
      </c>
      <c r="J10" s="12">
        <v>2</v>
      </c>
      <c r="K10" s="12">
        <v>106</v>
      </c>
      <c r="L10" s="12">
        <v>60</v>
      </c>
      <c r="M10" s="10" t="s">
        <v>192</v>
      </c>
      <c r="N10" s="10" t="s">
        <v>193</v>
      </c>
      <c r="O10" s="10" t="s">
        <v>193</v>
      </c>
    </row>
    <row r="11" spans="1:15" ht="32.1" customHeight="1" x14ac:dyDescent="0.25">
      <c r="A11" s="10" t="s">
        <v>56</v>
      </c>
      <c r="B11" s="10" t="s">
        <v>69</v>
      </c>
      <c r="C11" s="10" t="s">
        <v>58</v>
      </c>
      <c r="D11" s="10" t="s">
        <v>70</v>
      </c>
      <c r="E11" s="10" t="s">
        <v>194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spans="1:15" ht="32.1" customHeight="1" x14ac:dyDescent="0.25">
      <c r="A12" s="10" t="s">
        <v>56</v>
      </c>
      <c r="B12" s="10" t="s">
        <v>72</v>
      </c>
      <c r="C12" s="10" t="s">
        <v>58</v>
      </c>
      <c r="D12" s="10" t="s">
        <v>70</v>
      </c>
      <c r="E12" s="10" t="s">
        <v>194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spans="1:15" ht="32.1" customHeight="1" x14ac:dyDescent="0.25">
      <c r="A13" s="10" t="s">
        <v>56</v>
      </c>
      <c r="B13" s="10" t="s">
        <v>73</v>
      </c>
      <c r="C13" s="10" t="s">
        <v>58</v>
      </c>
      <c r="D13" s="10" t="s">
        <v>70</v>
      </c>
      <c r="E13" s="10" t="s">
        <v>194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spans="1:15" ht="32.1" customHeight="1" x14ac:dyDescent="0.25">
      <c r="A14" s="10" t="s">
        <v>56</v>
      </c>
      <c r="B14" s="10" t="s">
        <v>74</v>
      </c>
      <c r="C14" s="10" t="s">
        <v>58</v>
      </c>
      <c r="D14" s="10" t="s">
        <v>70</v>
      </c>
      <c r="E14" s="10" t="s">
        <v>194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spans="1:15" ht="32.1" customHeight="1" x14ac:dyDescent="0.25">
      <c r="A15" s="10" t="s">
        <v>56</v>
      </c>
      <c r="B15" s="10" t="s">
        <v>75</v>
      </c>
      <c r="C15" s="10" t="s">
        <v>58</v>
      </c>
      <c r="D15" s="10" t="s">
        <v>70</v>
      </c>
      <c r="E15" s="10" t="s">
        <v>194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spans="1:15" ht="32.1" customHeight="1" x14ac:dyDescent="0.25">
      <c r="A16" s="10" t="s">
        <v>56</v>
      </c>
      <c r="B16" s="10" t="s">
        <v>76</v>
      </c>
      <c r="C16" s="10" t="s">
        <v>58</v>
      </c>
      <c r="D16" s="10" t="s">
        <v>3</v>
      </c>
      <c r="E16" s="10" t="s">
        <v>194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spans="1:15" ht="32.1" customHeight="1" x14ac:dyDescent="0.25">
      <c r="A17" s="10" t="s">
        <v>56</v>
      </c>
      <c r="B17" s="10" t="s">
        <v>78</v>
      </c>
      <c r="C17" s="10" t="s">
        <v>58</v>
      </c>
      <c r="D17" s="10" t="s">
        <v>3</v>
      </c>
      <c r="E17" s="10" t="s">
        <v>194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spans="1:15" ht="32.1" customHeight="1" x14ac:dyDescent="0.25">
      <c r="A18" s="10" t="s">
        <v>56</v>
      </c>
      <c r="B18" s="10" t="s">
        <v>79</v>
      </c>
      <c r="C18" s="10" t="s">
        <v>58</v>
      </c>
      <c r="D18" s="10" t="s">
        <v>3</v>
      </c>
      <c r="E18" s="10" t="s">
        <v>194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spans="1:15" ht="32.1" customHeight="1" x14ac:dyDescent="0.25">
      <c r="A19" s="10" t="s">
        <v>56</v>
      </c>
      <c r="B19" s="10" t="s">
        <v>80</v>
      </c>
      <c r="C19" s="10" t="s">
        <v>58</v>
      </c>
      <c r="D19" s="10" t="s">
        <v>3</v>
      </c>
      <c r="E19" s="10" t="s">
        <v>194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spans="1:15" ht="32.1" customHeight="1" x14ac:dyDescent="0.25">
      <c r="A20" s="10" t="s">
        <v>56</v>
      </c>
      <c r="B20" s="10" t="s">
        <v>81</v>
      </c>
      <c r="C20" s="10" t="s">
        <v>58</v>
      </c>
      <c r="D20" s="10" t="s">
        <v>3</v>
      </c>
      <c r="E20" s="10" t="s">
        <v>194</v>
      </c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spans="1:15" ht="32.1" customHeight="1" x14ac:dyDescent="0.25">
      <c r="A21" s="10" t="s">
        <v>56</v>
      </c>
      <c r="B21" s="10" t="s">
        <v>82</v>
      </c>
      <c r="C21" s="10" t="s">
        <v>58</v>
      </c>
      <c r="D21" s="10" t="s">
        <v>3</v>
      </c>
      <c r="E21" s="10" t="s">
        <v>194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spans="1:15" ht="32.1" customHeight="1" x14ac:dyDescent="0.25">
      <c r="A22" s="10" t="s">
        <v>56</v>
      </c>
      <c r="B22" s="10" t="s">
        <v>84</v>
      </c>
      <c r="C22" s="10" t="s">
        <v>58</v>
      </c>
      <c r="D22" s="10" t="s">
        <v>3</v>
      </c>
      <c r="E22" s="10" t="s">
        <v>194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spans="1:15" ht="32.1" customHeight="1" x14ac:dyDescent="0.25">
      <c r="A23" s="10" t="s">
        <v>56</v>
      </c>
      <c r="B23" s="10" t="s">
        <v>85</v>
      </c>
      <c r="C23" s="10" t="s">
        <v>58</v>
      </c>
      <c r="D23" s="10" t="s">
        <v>3</v>
      </c>
      <c r="E23" s="10" t="s">
        <v>194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spans="1:15" ht="32.1" customHeight="1" x14ac:dyDescent="0.25">
      <c r="A24" s="10" t="s">
        <v>56</v>
      </c>
      <c r="B24" s="10" t="s">
        <v>86</v>
      </c>
      <c r="C24" s="10" t="s">
        <v>58</v>
      </c>
      <c r="D24" s="10" t="s">
        <v>3</v>
      </c>
      <c r="E24" s="10" t="s">
        <v>194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spans="1:15" ht="32.1" customHeight="1" x14ac:dyDescent="0.25">
      <c r="A25" s="10" t="s">
        <v>56</v>
      </c>
      <c r="B25" s="10" t="s">
        <v>87</v>
      </c>
      <c r="C25" s="10" t="s">
        <v>58</v>
      </c>
      <c r="D25" s="10" t="s">
        <v>3</v>
      </c>
      <c r="E25" s="10" t="s">
        <v>194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spans="1:15" ht="32.1" customHeight="1" x14ac:dyDescent="0.25">
      <c r="A26" s="10" t="s">
        <v>56</v>
      </c>
      <c r="B26" s="10" t="s">
        <v>88</v>
      </c>
      <c r="C26" s="10" t="s">
        <v>58</v>
      </c>
      <c r="D26" s="10" t="s">
        <v>3</v>
      </c>
      <c r="E26" s="10" t="s">
        <v>194</v>
      </c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spans="1:15" ht="32.1" customHeight="1" x14ac:dyDescent="0.25">
      <c r="A27" s="10" t="s">
        <v>56</v>
      </c>
      <c r="B27" s="10" t="s">
        <v>89</v>
      </c>
      <c r="C27" s="10" t="s">
        <v>58</v>
      </c>
      <c r="D27" s="10" t="s">
        <v>3</v>
      </c>
      <c r="E27" s="10" t="s">
        <v>194</v>
      </c>
      <c r="F27" s="12"/>
      <c r="G27" s="12"/>
      <c r="H27" s="12"/>
      <c r="I27" s="12"/>
      <c r="J27" s="12"/>
      <c r="K27" s="12"/>
      <c r="L27" s="12"/>
      <c r="M27" s="12"/>
      <c r="N27" s="12"/>
      <c r="O27" s="12"/>
    </row>
    <row r="28" spans="1:15" ht="32.1" customHeight="1" x14ac:dyDescent="0.25">
      <c r="A28" s="10" t="s">
        <v>56</v>
      </c>
      <c r="B28" s="10" t="s">
        <v>90</v>
      </c>
      <c r="C28" s="10" t="s">
        <v>58</v>
      </c>
      <c r="D28" s="10" t="s">
        <v>3</v>
      </c>
      <c r="E28" s="10" t="s">
        <v>194</v>
      </c>
      <c r="F28" s="12"/>
      <c r="G28" s="12"/>
      <c r="H28" s="12"/>
      <c r="I28" s="12"/>
      <c r="J28" s="12"/>
      <c r="K28" s="12"/>
      <c r="L28" s="12"/>
      <c r="M28" s="12"/>
      <c r="N28" s="12"/>
      <c r="O28" s="12"/>
    </row>
    <row r="29" spans="1:15" ht="32.1" customHeight="1" x14ac:dyDescent="0.25">
      <c r="A29" s="10" t="s">
        <v>56</v>
      </c>
      <c r="B29" s="10" t="s">
        <v>91</v>
      </c>
      <c r="C29" s="10" t="s">
        <v>58</v>
      </c>
      <c r="D29" s="10" t="s">
        <v>3</v>
      </c>
      <c r="E29" s="10" t="s">
        <v>194</v>
      </c>
      <c r="F29" s="12"/>
      <c r="G29" s="12"/>
      <c r="H29" s="12"/>
      <c r="I29" s="12"/>
      <c r="J29" s="12"/>
      <c r="K29" s="12"/>
      <c r="L29" s="12"/>
      <c r="M29" s="12"/>
      <c r="N29" s="12"/>
      <c r="O29" s="12"/>
    </row>
    <row r="30" spans="1:15" ht="32.1" customHeight="1" x14ac:dyDescent="0.25">
      <c r="A30" s="10" t="s">
        <v>56</v>
      </c>
      <c r="B30" s="10" t="s">
        <v>92</v>
      </c>
      <c r="C30" s="10" t="s">
        <v>58</v>
      </c>
      <c r="D30" s="10" t="s">
        <v>3</v>
      </c>
      <c r="E30" s="10" t="s">
        <v>194</v>
      </c>
      <c r="F30" s="12"/>
      <c r="G30" s="12"/>
      <c r="H30" s="12"/>
      <c r="I30" s="12"/>
      <c r="J30" s="12"/>
      <c r="K30" s="12"/>
      <c r="L30" s="12"/>
      <c r="M30" s="12"/>
      <c r="N30" s="12"/>
      <c r="O30" s="12"/>
    </row>
    <row r="31" spans="1:15" ht="32.1" customHeight="1" x14ac:dyDescent="0.25">
      <c r="A31" s="10" t="s">
        <v>56</v>
      </c>
      <c r="B31" s="10" t="s">
        <v>93</v>
      </c>
      <c r="C31" s="10" t="s">
        <v>94</v>
      </c>
      <c r="D31" s="10" t="s">
        <v>59</v>
      </c>
      <c r="E31" s="10" t="s">
        <v>195</v>
      </c>
      <c r="F31" s="12"/>
      <c r="G31" s="12"/>
      <c r="H31" s="12"/>
      <c r="I31" s="12"/>
      <c r="J31" s="12"/>
      <c r="K31" s="12"/>
      <c r="L31" s="12"/>
      <c r="M31" s="12"/>
      <c r="N31" s="12"/>
      <c r="O31" s="12"/>
    </row>
    <row r="32" spans="1:15" ht="32.1" customHeight="1" x14ac:dyDescent="0.25">
      <c r="A32" s="10" t="s">
        <v>56</v>
      </c>
      <c r="B32" s="10" t="s">
        <v>95</v>
      </c>
      <c r="C32" s="10" t="s">
        <v>94</v>
      </c>
      <c r="D32" s="10" t="s">
        <v>59</v>
      </c>
      <c r="E32" s="10" t="s">
        <v>195</v>
      </c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 spans="1:15" ht="32.1" customHeight="1" x14ac:dyDescent="0.25">
      <c r="A33" s="10" t="s">
        <v>56</v>
      </c>
      <c r="B33" s="10" t="s">
        <v>96</v>
      </c>
      <c r="C33" s="10" t="s">
        <v>94</v>
      </c>
      <c r="D33" s="10" t="s">
        <v>59</v>
      </c>
      <c r="E33" s="10" t="s">
        <v>195</v>
      </c>
      <c r="F33" s="12"/>
      <c r="G33" s="12"/>
      <c r="H33" s="12"/>
      <c r="I33" s="12"/>
      <c r="J33" s="12"/>
      <c r="K33" s="12"/>
      <c r="L33" s="12"/>
      <c r="M33" s="12"/>
      <c r="N33" s="12"/>
      <c r="O33" s="12"/>
    </row>
    <row r="34" spans="1:15" ht="32.1" customHeight="1" x14ac:dyDescent="0.25">
      <c r="A34" s="10" t="s">
        <v>56</v>
      </c>
      <c r="B34" s="10" t="s">
        <v>97</v>
      </c>
      <c r="C34" s="10" t="s">
        <v>94</v>
      </c>
      <c r="D34" s="10" t="s">
        <v>59</v>
      </c>
      <c r="E34" s="10" t="s">
        <v>195</v>
      </c>
      <c r="F34" s="12"/>
      <c r="G34" s="12"/>
      <c r="H34" s="12"/>
      <c r="I34" s="12"/>
      <c r="J34" s="12"/>
      <c r="K34" s="12"/>
      <c r="L34" s="12"/>
      <c r="M34" s="12"/>
      <c r="N34" s="12"/>
      <c r="O34" s="12"/>
    </row>
    <row r="35" spans="1:15" ht="32.1" customHeight="1" x14ac:dyDescent="0.25">
      <c r="A35" s="10" t="s">
        <v>56</v>
      </c>
      <c r="B35" s="10" t="s">
        <v>98</v>
      </c>
      <c r="C35" s="10" t="s">
        <v>94</v>
      </c>
      <c r="D35" s="10" t="s">
        <v>59</v>
      </c>
      <c r="E35" s="10" t="s">
        <v>195</v>
      </c>
      <c r="F35" s="12"/>
      <c r="G35" s="12"/>
      <c r="H35" s="12"/>
      <c r="I35" s="12"/>
      <c r="J35" s="12"/>
      <c r="K35" s="12"/>
      <c r="L35" s="12"/>
      <c r="M35" s="12"/>
      <c r="N35" s="12"/>
      <c r="O35" s="12"/>
    </row>
    <row r="36" spans="1:15" ht="32.1" customHeight="1" x14ac:dyDescent="0.25">
      <c r="A36" s="10" t="s">
        <v>56</v>
      </c>
      <c r="B36" s="10" t="s">
        <v>99</v>
      </c>
      <c r="C36" s="10" t="s">
        <v>94</v>
      </c>
      <c r="D36" s="10" t="s">
        <v>70</v>
      </c>
      <c r="E36" s="10" t="s">
        <v>195</v>
      </c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 spans="1:15" ht="32.1" customHeight="1" x14ac:dyDescent="0.25">
      <c r="A37" s="10" t="s">
        <v>56</v>
      </c>
      <c r="B37" s="10" t="s">
        <v>100</v>
      </c>
      <c r="C37" s="10" t="s">
        <v>94</v>
      </c>
      <c r="D37" s="10" t="s">
        <v>70</v>
      </c>
      <c r="E37" s="10" t="s">
        <v>195</v>
      </c>
      <c r="F37" s="12"/>
      <c r="G37" s="12"/>
      <c r="H37" s="12"/>
      <c r="I37" s="12"/>
      <c r="J37" s="12"/>
      <c r="K37" s="12"/>
      <c r="L37" s="12"/>
      <c r="M37" s="12"/>
      <c r="N37" s="12"/>
      <c r="O37" s="12"/>
    </row>
    <row r="38" spans="1:15" ht="32.1" customHeight="1" x14ac:dyDescent="0.25">
      <c r="A38" s="10" t="s">
        <v>56</v>
      </c>
      <c r="B38" s="10" t="s">
        <v>101</v>
      </c>
      <c r="C38" s="10" t="s">
        <v>94</v>
      </c>
      <c r="D38" s="10" t="s">
        <v>70</v>
      </c>
      <c r="E38" s="10" t="s">
        <v>195</v>
      </c>
      <c r="F38" s="12"/>
      <c r="G38" s="12"/>
      <c r="H38" s="12"/>
      <c r="I38" s="12"/>
      <c r="J38" s="12"/>
      <c r="K38" s="12"/>
      <c r="L38" s="12"/>
      <c r="M38" s="12"/>
      <c r="N38" s="12"/>
      <c r="O38" s="12"/>
    </row>
    <row r="39" spans="1:15" ht="32.1" customHeight="1" x14ac:dyDescent="0.25">
      <c r="A39" s="10" t="s">
        <v>56</v>
      </c>
      <c r="B39" s="10" t="s">
        <v>102</v>
      </c>
      <c r="C39" s="10" t="s">
        <v>94</v>
      </c>
      <c r="D39" s="10" t="s">
        <v>70</v>
      </c>
      <c r="E39" s="10" t="s">
        <v>195</v>
      </c>
      <c r="F39" s="12"/>
      <c r="G39" s="12"/>
      <c r="H39" s="12"/>
      <c r="I39" s="12"/>
      <c r="J39" s="12"/>
      <c r="K39" s="12"/>
      <c r="L39" s="12"/>
      <c r="M39" s="12"/>
      <c r="N39" s="12"/>
      <c r="O39" s="12"/>
    </row>
    <row r="40" spans="1:15" ht="32.1" customHeight="1" x14ac:dyDescent="0.25">
      <c r="A40" s="10" t="s">
        <v>56</v>
      </c>
      <c r="B40" s="10" t="s">
        <v>103</v>
      </c>
      <c r="C40" s="10" t="s">
        <v>94</v>
      </c>
      <c r="D40" s="10" t="s">
        <v>70</v>
      </c>
      <c r="E40" s="10" t="s">
        <v>195</v>
      </c>
      <c r="F40" s="12"/>
      <c r="G40" s="12"/>
      <c r="H40" s="12"/>
      <c r="I40" s="12"/>
      <c r="J40" s="12"/>
      <c r="K40" s="12"/>
      <c r="L40" s="12"/>
      <c r="M40" s="12"/>
      <c r="N40" s="12"/>
      <c r="O40" s="12"/>
    </row>
    <row r="41" spans="1:15" ht="32.1" customHeight="1" x14ac:dyDescent="0.25">
      <c r="A41" s="10" t="s">
        <v>56</v>
      </c>
      <c r="B41" s="10" t="s">
        <v>104</v>
      </c>
      <c r="C41" s="10" t="s">
        <v>94</v>
      </c>
      <c r="D41" s="10" t="s">
        <v>3</v>
      </c>
      <c r="E41" s="10" t="s">
        <v>195</v>
      </c>
      <c r="F41" s="12"/>
      <c r="G41" s="12"/>
      <c r="H41" s="12"/>
      <c r="I41" s="12"/>
      <c r="J41" s="12"/>
      <c r="K41" s="12"/>
      <c r="L41" s="12"/>
      <c r="M41" s="12"/>
      <c r="N41" s="12"/>
      <c r="O41" s="12"/>
    </row>
    <row r="42" spans="1:15" ht="32.1" customHeight="1" x14ac:dyDescent="0.25">
      <c r="A42" s="10" t="s">
        <v>56</v>
      </c>
      <c r="B42" s="10" t="s">
        <v>106</v>
      </c>
      <c r="C42" s="10" t="s">
        <v>94</v>
      </c>
      <c r="D42" s="10" t="s">
        <v>3</v>
      </c>
      <c r="E42" s="10" t="s">
        <v>195</v>
      </c>
      <c r="F42" s="12"/>
      <c r="G42" s="12"/>
      <c r="H42" s="12"/>
      <c r="I42" s="12"/>
      <c r="J42" s="12"/>
      <c r="K42" s="12"/>
      <c r="L42" s="12"/>
      <c r="M42" s="12"/>
      <c r="N42" s="12"/>
      <c r="O42" s="12"/>
    </row>
    <row r="43" spans="1:15" ht="32.1" customHeight="1" x14ac:dyDescent="0.25">
      <c r="A43" s="10" t="s">
        <v>56</v>
      </c>
      <c r="B43" s="10" t="s">
        <v>107</v>
      </c>
      <c r="C43" s="10" t="s">
        <v>94</v>
      </c>
      <c r="D43" s="10" t="s">
        <v>3</v>
      </c>
      <c r="E43" s="10" t="s">
        <v>195</v>
      </c>
      <c r="F43" s="12"/>
      <c r="G43" s="12"/>
      <c r="H43" s="12"/>
      <c r="I43" s="12"/>
      <c r="J43" s="12"/>
      <c r="K43" s="12"/>
      <c r="L43" s="12"/>
      <c r="M43" s="12"/>
      <c r="N43" s="12"/>
      <c r="O43" s="12"/>
    </row>
    <row r="44" spans="1:15" ht="32.1" customHeight="1" x14ac:dyDescent="0.25">
      <c r="A44" s="10" t="s">
        <v>56</v>
      </c>
      <c r="B44" s="10" t="s">
        <v>108</v>
      </c>
      <c r="C44" s="10" t="s">
        <v>94</v>
      </c>
      <c r="D44" s="10" t="s">
        <v>3</v>
      </c>
      <c r="E44" s="10" t="s">
        <v>195</v>
      </c>
      <c r="F44" s="12"/>
      <c r="G44" s="12"/>
      <c r="H44" s="12"/>
      <c r="I44" s="12"/>
      <c r="J44" s="12"/>
      <c r="K44" s="12"/>
      <c r="L44" s="12"/>
      <c r="M44" s="12"/>
      <c r="N44" s="12"/>
      <c r="O44" s="12"/>
    </row>
    <row r="45" spans="1:15" ht="32.1" customHeight="1" x14ac:dyDescent="0.25">
      <c r="A45" s="10" t="s">
        <v>56</v>
      </c>
      <c r="B45" s="10" t="s">
        <v>109</v>
      </c>
      <c r="C45" s="10" t="s">
        <v>94</v>
      </c>
      <c r="D45" s="10" t="s">
        <v>3</v>
      </c>
      <c r="E45" s="10" t="s">
        <v>195</v>
      </c>
      <c r="F45" s="12"/>
      <c r="G45" s="12"/>
      <c r="H45" s="12"/>
      <c r="I45" s="12"/>
      <c r="J45" s="12"/>
      <c r="K45" s="12"/>
      <c r="L45" s="12"/>
      <c r="M45" s="12"/>
      <c r="N45" s="12"/>
      <c r="O45" s="12"/>
    </row>
    <row r="46" spans="1:15" ht="32.1" customHeight="1" x14ac:dyDescent="0.25">
      <c r="A46" s="10" t="s">
        <v>56</v>
      </c>
      <c r="B46" s="10" t="s">
        <v>110</v>
      </c>
      <c r="C46" s="10" t="s">
        <v>94</v>
      </c>
      <c r="D46" s="10" t="s">
        <v>3</v>
      </c>
      <c r="E46" s="10" t="s">
        <v>195</v>
      </c>
      <c r="F46" s="12"/>
      <c r="G46" s="12"/>
      <c r="H46" s="12"/>
      <c r="I46" s="12"/>
      <c r="J46" s="12"/>
      <c r="K46" s="12"/>
      <c r="L46" s="12"/>
      <c r="M46" s="12"/>
      <c r="N46" s="12"/>
      <c r="O46" s="12"/>
    </row>
    <row r="47" spans="1:15" ht="32.1" customHeight="1" x14ac:dyDescent="0.25">
      <c r="A47" s="10" t="s">
        <v>56</v>
      </c>
      <c r="B47" s="10" t="s">
        <v>111</v>
      </c>
      <c r="C47" s="10" t="s">
        <v>94</v>
      </c>
      <c r="D47" s="10" t="s">
        <v>3</v>
      </c>
      <c r="E47" s="10" t="s">
        <v>195</v>
      </c>
      <c r="F47" s="12"/>
      <c r="G47" s="12"/>
      <c r="H47" s="12"/>
      <c r="I47" s="12"/>
      <c r="J47" s="12"/>
      <c r="K47" s="12"/>
      <c r="L47" s="12"/>
      <c r="M47" s="12"/>
      <c r="N47" s="12"/>
      <c r="O47" s="12"/>
    </row>
    <row r="48" spans="1:15" ht="32.1" customHeight="1" x14ac:dyDescent="0.25">
      <c r="A48" s="10" t="s">
        <v>56</v>
      </c>
      <c r="B48" s="10" t="s">
        <v>112</v>
      </c>
      <c r="C48" s="10" t="s">
        <v>94</v>
      </c>
      <c r="D48" s="10" t="s">
        <v>3</v>
      </c>
      <c r="E48" s="10" t="s">
        <v>195</v>
      </c>
      <c r="F48" s="12"/>
      <c r="G48" s="12"/>
      <c r="H48" s="12"/>
      <c r="I48" s="12"/>
      <c r="J48" s="12"/>
      <c r="K48" s="12"/>
      <c r="L48" s="12"/>
      <c r="M48" s="12"/>
      <c r="N48" s="12"/>
      <c r="O48" s="12"/>
    </row>
    <row r="49" spans="1:15" ht="32.1" customHeight="1" x14ac:dyDescent="0.25">
      <c r="A49" s="10" t="s">
        <v>56</v>
      </c>
      <c r="B49" s="10" t="s">
        <v>113</v>
      </c>
      <c r="C49" s="10" t="s">
        <v>94</v>
      </c>
      <c r="D49" s="10" t="s">
        <v>3</v>
      </c>
      <c r="E49" s="10" t="s">
        <v>195</v>
      </c>
      <c r="F49" s="12"/>
      <c r="G49" s="12"/>
      <c r="H49" s="12"/>
      <c r="I49" s="12"/>
      <c r="J49" s="12"/>
      <c r="K49" s="12"/>
      <c r="L49" s="12"/>
      <c r="M49" s="12"/>
      <c r="N49" s="12"/>
      <c r="O49" s="12"/>
    </row>
    <row r="50" spans="1:15" ht="32.1" customHeight="1" x14ac:dyDescent="0.25">
      <c r="A50" s="10" t="s">
        <v>56</v>
      </c>
      <c r="B50" s="10" t="s">
        <v>114</v>
      </c>
      <c r="C50" s="10" t="s">
        <v>94</v>
      </c>
      <c r="D50" s="10" t="s">
        <v>3</v>
      </c>
      <c r="E50" s="10" t="s">
        <v>195</v>
      </c>
      <c r="F50" s="12"/>
      <c r="G50" s="12"/>
      <c r="H50" s="12"/>
      <c r="I50" s="12"/>
      <c r="J50" s="12"/>
      <c r="K50" s="12"/>
      <c r="L50" s="12"/>
      <c r="M50" s="12"/>
      <c r="N50" s="12"/>
      <c r="O50" s="12"/>
    </row>
    <row r="51" spans="1:15" ht="32.1" customHeight="1" x14ac:dyDescent="0.25">
      <c r="A51" s="10" t="s">
        <v>56</v>
      </c>
      <c r="B51" s="10" t="s">
        <v>115</v>
      </c>
      <c r="C51" s="10" t="s">
        <v>94</v>
      </c>
      <c r="D51" s="10" t="s">
        <v>3</v>
      </c>
      <c r="E51" s="10" t="s">
        <v>195</v>
      </c>
      <c r="F51" s="12"/>
      <c r="G51" s="12"/>
      <c r="H51" s="12"/>
      <c r="I51" s="12"/>
      <c r="J51" s="12"/>
      <c r="K51" s="12"/>
      <c r="L51" s="12"/>
      <c r="M51" s="12"/>
      <c r="N51" s="12"/>
      <c r="O51" s="12"/>
    </row>
    <row r="52" spans="1:15" ht="32.1" customHeight="1" x14ac:dyDescent="0.25">
      <c r="A52" s="10" t="s">
        <v>56</v>
      </c>
      <c r="B52" s="10" t="s">
        <v>116</v>
      </c>
      <c r="C52" s="10" t="s">
        <v>94</v>
      </c>
      <c r="D52" s="10" t="s">
        <v>3</v>
      </c>
      <c r="E52" s="10" t="s">
        <v>195</v>
      </c>
      <c r="F52" s="12"/>
      <c r="G52" s="12"/>
      <c r="H52" s="12"/>
      <c r="I52" s="12"/>
      <c r="J52" s="12"/>
      <c r="K52" s="12"/>
      <c r="L52" s="12"/>
      <c r="M52" s="12"/>
      <c r="N52" s="12"/>
      <c r="O52" s="12"/>
    </row>
    <row r="53" spans="1:15" ht="32.1" customHeight="1" x14ac:dyDescent="0.25">
      <c r="A53" s="10" t="s">
        <v>56</v>
      </c>
      <c r="B53" s="10" t="s">
        <v>117</v>
      </c>
      <c r="C53" s="10" t="s">
        <v>94</v>
      </c>
      <c r="D53" s="10" t="s">
        <v>3</v>
      </c>
      <c r="E53" s="10" t="s">
        <v>195</v>
      </c>
      <c r="F53" s="12"/>
      <c r="G53" s="12"/>
      <c r="H53" s="12"/>
      <c r="I53" s="12"/>
      <c r="J53" s="12"/>
      <c r="K53" s="12"/>
      <c r="L53" s="12"/>
      <c r="M53" s="12"/>
      <c r="N53" s="12"/>
      <c r="O53" s="12"/>
    </row>
    <row r="54" spans="1:15" ht="32.1" customHeight="1" x14ac:dyDescent="0.25">
      <c r="A54" s="10" t="s">
        <v>56</v>
      </c>
      <c r="B54" s="10" t="s">
        <v>118</v>
      </c>
      <c r="C54" s="10" t="s">
        <v>94</v>
      </c>
      <c r="D54" s="10" t="s">
        <v>3</v>
      </c>
      <c r="E54" s="10" t="s">
        <v>195</v>
      </c>
      <c r="F54" s="12"/>
      <c r="G54" s="12"/>
      <c r="H54" s="12"/>
      <c r="I54" s="12"/>
      <c r="J54" s="12"/>
      <c r="K54" s="12"/>
      <c r="L54" s="12"/>
      <c r="M54" s="12"/>
      <c r="N54" s="12"/>
      <c r="O54" s="12"/>
    </row>
    <row r="55" spans="1:15" ht="32.1" customHeight="1" x14ac:dyDescent="0.25">
      <c r="A55" s="10" t="s">
        <v>56</v>
      </c>
      <c r="B55" s="10" t="s">
        <v>119</v>
      </c>
      <c r="C55" s="10" t="s">
        <v>94</v>
      </c>
      <c r="D55" s="10" t="s">
        <v>3</v>
      </c>
      <c r="E55" s="10" t="s">
        <v>195</v>
      </c>
      <c r="F55" s="12"/>
      <c r="G55" s="12"/>
      <c r="H55" s="12"/>
      <c r="I55" s="12"/>
      <c r="J55" s="12"/>
      <c r="K55" s="12"/>
      <c r="L55" s="12"/>
      <c r="M55" s="12"/>
      <c r="N55" s="12"/>
      <c r="O55" s="12"/>
    </row>
    <row r="56" spans="1:15" ht="32.1" customHeight="1" x14ac:dyDescent="0.25">
      <c r="A56" s="10" t="s">
        <v>56</v>
      </c>
      <c r="B56" s="10" t="s">
        <v>120</v>
      </c>
      <c r="C56" s="10" t="s">
        <v>121</v>
      </c>
      <c r="D56" s="10" t="s">
        <v>59</v>
      </c>
      <c r="E56" s="10" t="s">
        <v>183</v>
      </c>
      <c r="F56" s="12">
        <v>54</v>
      </c>
      <c r="G56" s="12">
        <v>0</v>
      </c>
      <c r="H56" s="12">
        <v>54</v>
      </c>
      <c r="I56" s="12">
        <v>1</v>
      </c>
      <c r="J56" s="12">
        <v>2</v>
      </c>
      <c r="K56" s="12">
        <v>106</v>
      </c>
      <c r="L56" s="12">
        <v>60</v>
      </c>
      <c r="M56" s="10" t="s">
        <v>196</v>
      </c>
      <c r="N56" s="10" t="s">
        <v>197</v>
      </c>
      <c r="O56" s="10" t="s">
        <v>197</v>
      </c>
    </row>
    <row r="57" spans="1:15" ht="32.1" customHeight="1" x14ac:dyDescent="0.25">
      <c r="A57" s="10" t="s">
        <v>56</v>
      </c>
      <c r="B57" s="10" t="s">
        <v>122</v>
      </c>
      <c r="C57" s="10" t="s">
        <v>121</v>
      </c>
      <c r="D57" s="10" t="s">
        <v>59</v>
      </c>
      <c r="E57" s="10" t="s">
        <v>183</v>
      </c>
      <c r="F57" s="12">
        <v>54</v>
      </c>
      <c r="G57" s="12">
        <v>0</v>
      </c>
      <c r="H57" s="12">
        <v>54</v>
      </c>
      <c r="I57" s="12">
        <v>1</v>
      </c>
      <c r="J57" s="12">
        <v>2</v>
      </c>
      <c r="K57" s="12">
        <v>106</v>
      </c>
      <c r="L57" s="12">
        <v>60</v>
      </c>
      <c r="M57" s="10" t="s">
        <v>198</v>
      </c>
      <c r="N57" s="10" t="s">
        <v>199</v>
      </c>
      <c r="O57" s="10" t="s">
        <v>199</v>
      </c>
    </row>
    <row r="58" spans="1:15" ht="32.1" customHeight="1" x14ac:dyDescent="0.25">
      <c r="A58" s="10" t="s">
        <v>56</v>
      </c>
      <c r="B58" s="10" t="s">
        <v>123</v>
      </c>
      <c r="C58" s="10" t="s">
        <v>121</v>
      </c>
      <c r="D58" s="10" t="s">
        <v>59</v>
      </c>
      <c r="E58" s="10" t="s">
        <v>183</v>
      </c>
      <c r="F58" s="12">
        <v>54</v>
      </c>
      <c r="G58" s="12">
        <v>0</v>
      </c>
      <c r="H58" s="12">
        <v>54</v>
      </c>
      <c r="I58" s="12">
        <v>1</v>
      </c>
      <c r="J58" s="12">
        <v>2</v>
      </c>
      <c r="K58" s="12">
        <v>106</v>
      </c>
      <c r="L58" s="12">
        <v>60</v>
      </c>
      <c r="M58" s="10" t="s">
        <v>200</v>
      </c>
      <c r="N58" s="10" t="s">
        <v>201</v>
      </c>
      <c r="O58" s="10" t="s">
        <v>201</v>
      </c>
    </row>
    <row r="59" spans="1:15" ht="32.1" customHeight="1" x14ac:dyDescent="0.25">
      <c r="A59" s="10" t="s">
        <v>56</v>
      </c>
      <c r="B59" s="10" t="s">
        <v>124</v>
      </c>
      <c r="C59" s="10" t="s">
        <v>121</v>
      </c>
      <c r="D59" s="10" t="s">
        <v>59</v>
      </c>
      <c r="E59" s="10" t="s">
        <v>183</v>
      </c>
      <c r="F59" s="12">
        <v>54</v>
      </c>
      <c r="G59" s="12">
        <v>0</v>
      </c>
      <c r="H59" s="12">
        <v>54</v>
      </c>
      <c r="I59" s="12">
        <v>1</v>
      </c>
      <c r="J59" s="12">
        <v>2</v>
      </c>
      <c r="K59" s="12">
        <v>106</v>
      </c>
      <c r="L59" s="12">
        <v>60</v>
      </c>
      <c r="M59" s="10" t="s">
        <v>202</v>
      </c>
      <c r="N59" s="10" t="s">
        <v>203</v>
      </c>
      <c r="O59" s="10" t="s">
        <v>203</v>
      </c>
    </row>
    <row r="60" spans="1:15" ht="32.1" customHeight="1" x14ac:dyDescent="0.25">
      <c r="A60" s="10" t="s">
        <v>56</v>
      </c>
      <c r="B60" s="10" t="s">
        <v>125</v>
      </c>
      <c r="C60" s="10" t="s">
        <v>121</v>
      </c>
      <c r="D60" s="10" t="s">
        <v>59</v>
      </c>
      <c r="E60" s="10" t="s">
        <v>183</v>
      </c>
      <c r="F60" s="12">
        <v>54</v>
      </c>
      <c r="G60" s="12">
        <v>0</v>
      </c>
      <c r="H60" s="12">
        <v>54</v>
      </c>
      <c r="I60" s="12">
        <v>1</v>
      </c>
      <c r="J60" s="12">
        <v>2</v>
      </c>
      <c r="K60" s="12">
        <v>106</v>
      </c>
      <c r="L60" s="12">
        <v>60</v>
      </c>
      <c r="M60" s="10" t="s">
        <v>204</v>
      </c>
      <c r="N60" s="10" t="s">
        <v>205</v>
      </c>
      <c r="O60" s="10" t="s">
        <v>205</v>
      </c>
    </row>
    <row r="61" spans="1:15" ht="32.1" customHeight="1" x14ac:dyDescent="0.25">
      <c r="A61" s="10" t="s">
        <v>56</v>
      </c>
      <c r="B61" s="10" t="s">
        <v>126</v>
      </c>
      <c r="C61" s="10" t="s">
        <v>121</v>
      </c>
      <c r="D61" s="10" t="s">
        <v>70</v>
      </c>
      <c r="E61" s="10" t="s">
        <v>194</v>
      </c>
      <c r="F61" s="12"/>
      <c r="G61" s="12"/>
      <c r="H61" s="12"/>
      <c r="I61" s="12"/>
      <c r="J61" s="12"/>
      <c r="K61" s="12"/>
      <c r="L61" s="12"/>
      <c r="M61" s="12"/>
      <c r="N61" s="12"/>
      <c r="O61" s="12"/>
    </row>
    <row r="62" spans="1:15" ht="32.1" customHeight="1" x14ac:dyDescent="0.25">
      <c r="A62" s="10" t="s">
        <v>56</v>
      </c>
      <c r="B62" s="10" t="s">
        <v>127</v>
      </c>
      <c r="C62" s="10" t="s">
        <v>121</v>
      </c>
      <c r="D62" s="10" t="s">
        <v>70</v>
      </c>
      <c r="E62" s="10" t="s">
        <v>194</v>
      </c>
      <c r="F62" s="12"/>
      <c r="G62" s="12"/>
      <c r="H62" s="12"/>
      <c r="I62" s="12"/>
      <c r="J62" s="12"/>
      <c r="K62" s="12"/>
      <c r="L62" s="12"/>
      <c r="M62" s="12"/>
      <c r="N62" s="12"/>
      <c r="O62" s="12"/>
    </row>
    <row r="63" spans="1:15" ht="32.1" customHeight="1" x14ac:dyDescent="0.25">
      <c r="A63" s="10" t="s">
        <v>56</v>
      </c>
      <c r="B63" s="10" t="s">
        <v>128</v>
      </c>
      <c r="C63" s="10" t="s">
        <v>121</v>
      </c>
      <c r="D63" s="10" t="s">
        <v>70</v>
      </c>
      <c r="E63" s="10" t="s">
        <v>194</v>
      </c>
      <c r="F63" s="12"/>
      <c r="G63" s="12"/>
      <c r="H63" s="12"/>
      <c r="I63" s="12"/>
      <c r="J63" s="12"/>
      <c r="K63" s="12"/>
      <c r="L63" s="12"/>
      <c r="M63" s="12"/>
      <c r="N63" s="12"/>
      <c r="O63" s="12"/>
    </row>
    <row r="64" spans="1:15" ht="32.1" customHeight="1" x14ac:dyDescent="0.25">
      <c r="A64" s="10" t="s">
        <v>56</v>
      </c>
      <c r="B64" s="10" t="s">
        <v>129</v>
      </c>
      <c r="C64" s="10" t="s">
        <v>121</v>
      </c>
      <c r="D64" s="10" t="s">
        <v>70</v>
      </c>
      <c r="E64" s="10" t="s">
        <v>194</v>
      </c>
      <c r="F64" s="12"/>
      <c r="G64" s="12"/>
      <c r="H64" s="12"/>
      <c r="I64" s="12"/>
      <c r="J64" s="12"/>
      <c r="K64" s="12"/>
      <c r="L64" s="12"/>
      <c r="M64" s="12"/>
      <c r="N64" s="12"/>
      <c r="O64" s="12"/>
    </row>
    <row r="65" spans="1:15" ht="32.1" customHeight="1" x14ac:dyDescent="0.25">
      <c r="A65" s="10" t="s">
        <v>56</v>
      </c>
      <c r="B65" s="10" t="s">
        <v>130</v>
      </c>
      <c r="C65" s="10" t="s">
        <v>121</v>
      </c>
      <c r="D65" s="10" t="s">
        <v>70</v>
      </c>
      <c r="E65" s="10" t="s">
        <v>194</v>
      </c>
      <c r="F65" s="12"/>
      <c r="G65" s="12"/>
      <c r="H65" s="12"/>
      <c r="I65" s="12"/>
      <c r="J65" s="12"/>
      <c r="K65" s="12"/>
      <c r="L65" s="12"/>
      <c r="M65" s="12"/>
      <c r="N65" s="12"/>
      <c r="O65" s="12"/>
    </row>
    <row r="66" spans="1:15" ht="32.1" customHeight="1" x14ac:dyDescent="0.25">
      <c r="A66" s="10" t="s">
        <v>56</v>
      </c>
      <c r="B66" s="10" t="s">
        <v>131</v>
      </c>
      <c r="C66" s="10" t="s">
        <v>121</v>
      </c>
      <c r="D66" s="10" t="s">
        <v>3</v>
      </c>
      <c r="E66" s="10" t="s">
        <v>194</v>
      </c>
      <c r="F66" s="12"/>
      <c r="G66" s="12"/>
      <c r="H66" s="12"/>
      <c r="I66" s="12"/>
      <c r="J66" s="12"/>
      <c r="K66" s="12"/>
      <c r="L66" s="12"/>
      <c r="M66" s="12"/>
      <c r="N66" s="12"/>
      <c r="O66" s="12"/>
    </row>
    <row r="67" spans="1:15" ht="32.1" customHeight="1" x14ac:dyDescent="0.25">
      <c r="A67" s="10" t="s">
        <v>56</v>
      </c>
      <c r="B67" s="10" t="s">
        <v>132</v>
      </c>
      <c r="C67" s="10" t="s">
        <v>121</v>
      </c>
      <c r="D67" s="10" t="s">
        <v>3</v>
      </c>
      <c r="E67" s="10" t="s">
        <v>194</v>
      </c>
      <c r="F67" s="12"/>
      <c r="G67" s="12"/>
      <c r="H67" s="12"/>
      <c r="I67" s="12"/>
      <c r="J67" s="12"/>
      <c r="K67" s="12"/>
      <c r="L67" s="12"/>
      <c r="M67" s="12"/>
      <c r="N67" s="12"/>
      <c r="O67" s="12"/>
    </row>
    <row r="68" spans="1:15" ht="32.1" customHeight="1" x14ac:dyDescent="0.25">
      <c r="A68" s="10" t="s">
        <v>56</v>
      </c>
      <c r="B68" s="10" t="s">
        <v>133</v>
      </c>
      <c r="C68" s="10" t="s">
        <v>121</v>
      </c>
      <c r="D68" s="10" t="s">
        <v>3</v>
      </c>
      <c r="E68" s="10" t="s">
        <v>194</v>
      </c>
      <c r="F68" s="12"/>
      <c r="G68" s="12"/>
      <c r="H68" s="12"/>
      <c r="I68" s="12"/>
      <c r="J68" s="12"/>
      <c r="K68" s="12"/>
      <c r="L68" s="12"/>
      <c r="M68" s="12"/>
      <c r="N68" s="12"/>
      <c r="O68" s="12"/>
    </row>
    <row r="69" spans="1:15" ht="32.1" customHeight="1" x14ac:dyDescent="0.25">
      <c r="A69" s="10" t="s">
        <v>56</v>
      </c>
      <c r="B69" s="10" t="s">
        <v>134</v>
      </c>
      <c r="C69" s="10" t="s">
        <v>121</v>
      </c>
      <c r="D69" s="10" t="s">
        <v>3</v>
      </c>
      <c r="E69" s="10" t="s">
        <v>194</v>
      </c>
      <c r="F69" s="12"/>
      <c r="G69" s="12"/>
      <c r="H69" s="12"/>
      <c r="I69" s="12"/>
      <c r="J69" s="12"/>
      <c r="K69" s="12"/>
      <c r="L69" s="12"/>
      <c r="M69" s="12"/>
      <c r="N69" s="12"/>
      <c r="O69" s="12"/>
    </row>
    <row r="70" spans="1:15" ht="32.1" customHeight="1" x14ac:dyDescent="0.25">
      <c r="A70" s="10" t="s">
        <v>56</v>
      </c>
      <c r="B70" s="10" t="s">
        <v>135</v>
      </c>
      <c r="C70" s="10" t="s">
        <v>121</v>
      </c>
      <c r="D70" s="10" t="s">
        <v>3</v>
      </c>
      <c r="E70" s="10" t="s">
        <v>194</v>
      </c>
      <c r="F70" s="12"/>
      <c r="G70" s="12"/>
      <c r="H70" s="12"/>
      <c r="I70" s="12"/>
      <c r="J70" s="12"/>
      <c r="K70" s="12"/>
      <c r="L70" s="12"/>
      <c r="M70" s="12"/>
      <c r="N70" s="12"/>
      <c r="O70" s="12"/>
    </row>
    <row r="71" spans="1:15" ht="32.1" customHeight="1" x14ac:dyDescent="0.25">
      <c r="A71" s="10" t="s">
        <v>56</v>
      </c>
      <c r="B71" s="10" t="s">
        <v>136</v>
      </c>
      <c r="C71" s="10" t="s">
        <v>121</v>
      </c>
      <c r="D71" s="10" t="s">
        <v>3</v>
      </c>
      <c r="E71" s="10" t="s">
        <v>194</v>
      </c>
      <c r="F71" s="12"/>
      <c r="G71" s="12"/>
      <c r="H71" s="12"/>
      <c r="I71" s="12"/>
      <c r="J71" s="12"/>
      <c r="K71" s="12"/>
      <c r="L71" s="12"/>
      <c r="M71" s="12"/>
      <c r="N71" s="12"/>
      <c r="O71" s="12"/>
    </row>
    <row r="72" spans="1:15" ht="32.1" customHeight="1" x14ac:dyDescent="0.25">
      <c r="A72" s="10" t="s">
        <v>56</v>
      </c>
      <c r="B72" s="10" t="s">
        <v>137</v>
      </c>
      <c r="C72" s="10" t="s">
        <v>121</v>
      </c>
      <c r="D72" s="10" t="s">
        <v>3</v>
      </c>
      <c r="E72" s="10" t="s">
        <v>194</v>
      </c>
      <c r="F72" s="12"/>
      <c r="G72" s="12"/>
      <c r="H72" s="12"/>
      <c r="I72" s="12"/>
      <c r="J72" s="12"/>
      <c r="K72" s="12"/>
      <c r="L72" s="12"/>
      <c r="M72" s="12"/>
      <c r="N72" s="12"/>
      <c r="O72" s="12"/>
    </row>
    <row r="73" spans="1:15" ht="32.1" customHeight="1" x14ac:dyDescent="0.25">
      <c r="A73" s="10" t="s">
        <v>56</v>
      </c>
      <c r="B73" s="10" t="s">
        <v>138</v>
      </c>
      <c r="C73" s="10" t="s">
        <v>121</v>
      </c>
      <c r="D73" s="10" t="s">
        <v>3</v>
      </c>
      <c r="E73" s="10" t="s">
        <v>194</v>
      </c>
      <c r="F73" s="12"/>
      <c r="G73" s="12"/>
      <c r="H73" s="12"/>
      <c r="I73" s="12"/>
      <c r="J73" s="12"/>
      <c r="K73" s="12"/>
      <c r="L73" s="12"/>
      <c r="M73" s="12"/>
      <c r="N73" s="12"/>
      <c r="O73" s="12"/>
    </row>
    <row r="74" spans="1:15" ht="32.1" customHeight="1" x14ac:dyDescent="0.25">
      <c r="A74" s="10" t="s">
        <v>56</v>
      </c>
      <c r="B74" s="10" t="s">
        <v>139</v>
      </c>
      <c r="C74" s="10" t="s">
        <v>121</v>
      </c>
      <c r="D74" s="10" t="s">
        <v>3</v>
      </c>
      <c r="E74" s="10" t="s">
        <v>194</v>
      </c>
      <c r="F74" s="12"/>
      <c r="G74" s="12"/>
      <c r="H74" s="12"/>
      <c r="I74" s="12"/>
      <c r="J74" s="12"/>
      <c r="K74" s="12"/>
      <c r="L74" s="12"/>
      <c r="M74" s="12"/>
      <c r="N74" s="12"/>
      <c r="O74" s="12"/>
    </row>
    <row r="75" spans="1:15" ht="32.1" customHeight="1" x14ac:dyDescent="0.25">
      <c r="A75" s="10" t="s">
        <v>56</v>
      </c>
      <c r="B75" s="10" t="s">
        <v>140</v>
      </c>
      <c r="C75" s="10" t="s">
        <v>121</v>
      </c>
      <c r="D75" s="10" t="s">
        <v>3</v>
      </c>
      <c r="E75" s="10" t="s">
        <v>194</v>
      </c>
      <c r="F75" s="12"/>
      <c r="G75" s="12"/>
      <c r="H75" s="12"/>
      <c r="I75" s="12"/>
      <c r="J75" s="12"/>
      <c r="K75" s="12"/>
      <c r="L75" s="12"/>
      <c r="M75" s="12"/>
      <c r="N75" s="12"/>
      <c r="O75" s="12"/>
    </row>
    <row r="76" spans="1:15" ht="32.1" customHeight="1" x14ac:dyDescent="0.25">
      <c r="A76" s="10" t="s">
        <v>56</v>
      </c>
      <c r="B76" s="10" t="s">
        <v>141</v>
      </c>
      <c r="C76" s="10" t="s">
        <v>121</v>
      </c>
      <c r="D76" s="10" t="s">
        <v>3</v>
      </c>
      <c r="E76" s="10" t="s">
        <v>194</v>
      </c>
      <c r="F76" s="12"/>
      <c r="G76" s="12"/>
      <c r="H76" s="12"/>
      <c r="I76" s="12"/>
      <c r="J76" s="12"/>
      <c r="K76" s="12"/>
      <c r="L76" s="12"/>
      <c r="M76" s="12"/>
      <c r="N76" s="12"/>
      <c r="O76" s="12"/>
    </row>
    <row r="77" spans="1:15" ht="32.1" customHeight="1" x14ac:dyDescent="0.25">
      <c r="A77" s="10" t="s">
        <v>56</v>
      </c>
      <c r="B77" s="10" t="s">
        <v>142</v>
      </c>
      <c r="C77" s="10" t="s">
        <v>121</v>
      </c>
      <c r="D77" s="10" t="s">
        <v>3</v>
      </c>
      <c r="E77" s="10" t="s">
        <v>194</v>
      </c>
      <c r="F77" s="12"/>
      <c r="G77" s="12"/>
      <c r="H77" s="12"/>
      <c r="I77" s="12"/>
      <c r="J77" s="12"/>
      <c r="K77" s="12"/>
      <c r="L77" s="12"/>
      <c r="M77" s="12"/>
      <c r="N77" s="12"/>
      <c r="O77" s="12"/>
    </row>
    <row r="78" spans="1:15" ht="32.1" customHeight="1" x14ac:dyDescent="0.25">
      <c r="A78" s="10" t="s">
        <v>56</v>
      </c>
      <c r="B78" s="10" t="s">
        <v>143</v>
      </c>
      <c r="C78" s="10" t="s">
        <v>121</v>
      </c>
      <c r="D78" s="10" t="s">
        <v>3</v>
      </c>
      <c r="E78" s="10" t="s">
        <v>194</v>
      </c>
      <c r="F78" s="12"/>
      <c r="G78" s="12"/>
      <c r="H78" s="12"/>
      <c r="I78" s="12"/>
      <c r="J78" s="12"/>
      <c r="K78" s="12"/>
      <c r="L78" s="12"/>
      <c r="M78" s="12"/>
      <c r="N78" s="12"/>
      <c r="O78" s="12"/>
    </row>
    <row r="79" spans="1:15" ht="32.1" customHeight="1" x14ac:dyDescent="0.25">
      <c r="A79" s="10" t="s">
        <v>56</v>
      </c>
      <c r="B79" s="10" t="s">
        <v>144</v>
      </c>
      <c r="C79" s="10" t="s">
        <v>121</v>
      </c>
      <c r="D79" s="10" t="s">
        <v>3</v>
      </c>
      <c r="E79" s="10" t="s">
        <v>194</v>
      </c>
      <c r="F79" s="12"/>
      <c r="G79" s="12"/>
      <c r="H79" s="12"/>
      <c r="I79" s="12"/>
      <c r="J79" s="12"/>
      <c r="K79" s="12"/>
      <c r="L79" s="12"/>
      <c r="M79" s="12"/>
      <c r="N79" s="12"/>
      <c r="O79" s="12"/>
    </row>
    <row r="80" spans="1:15" ht="32.1" customHeight="1" x14ac:dyDescent="0.25">
      <c r="A80" s="10" t="s">
        <v>56</v>
      </c>
      <c r="B80" s="10" t="s">
        <v>145</v>
      </c>
      <c r="C80" s="10" t="s">
        <v>121</v>
      </c>
      <c r="D80" s="10" t="s">
        <v>3</v>
      </c>
      <c r="E80" s="10" t="s">
        <v>194</v>
      </c>
      <c r="F80" s="12"/>
      <c r="G80" s="12"/>
      <c r="H80" s="12"/>
      <c r="I80" s="12"/>
      <c r="J80" s="12"/>
      <c r="K80" s="12"/>
      <c r="L80" s="12"/>
      <c r="M80" s="12"/>
      <c r="N80" s="12"/>
      <c r="O80" s="12"/>
    </row>
  </sheetData>
  <mergeCells count="3">
    <mergeCell ref="A1:O1"/>
    <mergeCell ref="A3:O3"/>
    <mergeCell ref="A2:O2"/>
  </mergeCells>
  <pageMargins left="0.75" right="0.75" top="1" bottom="1" header="0.5" footer="0.5"/>
  <pageSetup paperSize="8" fitToHeight="0" orientation="landscape"/>
  <headerFooter>
    <oddFooter>&amp;CDEMO | &amp;A | &amp;P / &amp;N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80"/>
  <sheetViews>
    <sheetView showGridLines="0"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6" customWidth="1"/>
    <col min="2" max="2" width="42" customWidth="1"/>
    <col min="3" max="4" width="26" customWidth="1"/>
    <col min="5" max="7" width="21" customWidth="1"/>
    <col min="8" max="8" width="26" customWidth="1"/>
    <col min="9" max="9" width="21" customWidth="1"/>
  </cols>
  <sheetData>
    <row r="1" spans="1:9" ht="33.950000000000003" customHeight="1" x14ac:dyDescent="0.25">
      <c r="A1" s="25" t="s">
        <v>206</v>
      </c>
      <c r="B1" s="22"/>
      <c r="C1" s="22"/>
      <c r="D1" s="22"/>
      <c r="E1" s="22"/>
      <c r="F1" s="22"/>
      <c r="G1" s="22"/>
      <c r="H1" s="22"/>
      <c r="I1" s="22"/>
    </row>
    <row r="2" spans="1:9" ht="30" customHeight="1" x14ac:dyDescent="0.25">
      <c r="A2" s="21" t="s">
        <v>1</v>
      </c>
      <c r="B2" s="22"/>
      <c r="C2" s="22"/>
      <c r="D2" s="22"/>
      <c r="E2" s="22"/>
      <c r="F2" s="22"/>
      <c r="G2" s="22"/>
      <c r="H2" s="22"/>
      <c r="I2" s="22"/>
    </row>
    <row r="3" spans="1:9" ht="30" customHeight="1" x14ac:dyDescent="0.25">
      <c r="A3" s="26" t="s">
        <v>207</v>
      </c>
      <c r="B3" s="22"/>
      <c r="C3" s="22"/>
      <c r="D3" s="22"/>
      <c r="E3" s="22"/>
      <c r="F3" s="22"/>
      <c r="G3" s="22"/>
      <c r="H3" s="22"/>
      <c r="I3" s="22"/>
    </row>
    <row r="5" spans="1:9" ht="36" customHeight="1" x14ac:dyDescent="0.25">
      <c r="A5" s="2" t="s">
        <v>22</v>
      </c>
      <c r="B5" s="2" t="s">
        <v>23</v>
      </c>
      <c r="C5" s="2" t="s">
        <v>24</v>
      </c>
      <c r="D5" s="2" t="s">
        <v>208</v>
      </c>
      <c r="E5" s="2" t="s">
        <v>29</v>
      </c>
      <c r="F5" s="2" t="s">
        <v>35</v>
      </c>
      <c r="G5" s="2" t="s">
        <v>36</v>
      </c>
      <c r="H5" s="2" t="s">
        <v>46</v>
      </c>
      <c r="I5" s="2" t="s">
        <v>44</v>
      </c>
    </row>
    <row r="6" spans="1:9" ht="32.1" customHeight="1" x14ac:dyDescent="0.25">
      <c r="A6" s="10" t="s">
        <v>56</v>
      </c>
      <c r="B6" s="10" t="s">
        <v>57</v>
      </c>
      <c r="C6" s="10" t="s">
        <v>58</v>
      </c>
      <c r="D6" s="10" t="s">
        <v>209</v>
      </c>
      <c r="E6" s="11">
        <v>61</v>
      </c>
      <c r="F6" s="12">
        <v>138.90979984003931</v>
      </c>
      <c r="G6" s="12">
        <v>690.82317406459515</v>
      </c>
      <c r="H6" s="12">
        <v>1.639344262295082</v>
      </c>
      <c r="I6" s="12">
        <v>10.16666666666667</v>
      </c>
    </row>
    <row r="7" spans="1:9" ht="32.1" customHeight="1" x14ac:dyDescent="0.25">
      <c r="A7" s="10" t="s">
        <v>56</v>
      </c>
      <c r="B7" s="10" t="s">
        <v>57</v>
      </c>
      <c r="C7" s="10" t="s">
        <v>58</v>
      </c>
      <c r="D7" s="10" t="s">
        <v>210</v>
      </c>
      <c r="E7" s="11">
        <v>600</v>
      </c>
      <c r="F7" s="12">
        <v>183.0888633468773</v>
      </c>
      <c r="G7" s="12">
        <v>259.94562445623228</v>
      </c>
      <c r="H7" s="12">
        <v>1.666666666666667</v>
      </c>
      <c r="I7" s="12">
        <v>100</v>
      </c>
    </row>
    <row r="8" spans="1:9" ht="32.1" customHeight="1" x14ac:dyDescent="0.25">
      <c r="A8" s="10" t="s">
        <v>56</v>
      </c>
      <c r="B8" s="10" t="s">
        <v>57</v>
      </c>
      <c r="C8" s="10" t="s">
        <v>58</v>
      </c>
      <c r="D8" s="10" t="s">
        <v>211</v>
      </c>
      <c r="E8" s="11">
        <v>10</v>
      </c>
      <c r="F8" s="12">
        <v>80.056465718638066</v>
      </c>
      <c r="G8" s="12">
        <v>80.143962618977795</v>
      </c>
      <c r="H8" s="12">
        <v>0</v>
      </c>
      <c r="I8" s="12">
        <v>10</v>
      </c>
    </row>
    <row r="9" spans="1:9" ht="32.1" customHeight="1" x14ac:dyDescent="0.25">
      <c r="A9" s="10" t="s">
        <v>56</v>
      </c>
      <c r="B9" s="10" t="s">
        <v>57</v>
      </c>
      <c r="C9" s="10" t="s">
        <v>58</v>
      </c>
      <c r="D9" s="10" t="s">
        <v>212</v>
      </c>
      <c r="E9" s="11">
        <v>100</v>
      </c>
      <c r="F9" s="12">
        <v>155.79111954914509</v>
      </c>
      <c r="G9" s="12">
        <v>199.81212946506361</v>
      </c>
      <c r="H9" s="12">
        <v>2</v>
      </c>
      <c r="I9" s="12">
        <v>100</v>
      </c>
    </row>
    <row r="10" spans="1:9" ht="32.1" customHeight="1" x14ac:dyDescent="0.25">
      <c r="A10" s="10" t="s">
        <v>56</v>
      </c>
      <c r="B10" s="10" t="s">
        <v>57</v>
      </c>
      <c r="C10" s="10" t="s">
        <v>58</v>
      </c>
      <c r="D10" s="10" t="s">
        <v>213</v>
      </c>
      <c r="E10" s="11">
        <v>59</v>
      </c>
      <c r="F10" s="12">
        <v>98.856694111726341</v>
      </c>
      <c r="G10" s="12">
        <v>160.61296487749479</v>
      </c>
      <c r="H10" s="12">
        <v>0</v>
      </c>
      <c r="I10" s="12">
        <v>9.8333333333333339</v>
      </c>
    </row>
    <row r="11" spans="1:9" ht="32.1" customHeight="1" x14ac:dyDescent="0.25">
      <c r="A11" s="10" t="s">
        <v>56</v>
      </c>
      <c r="B11" s="10" t="s">
        <v>65</v>
      </c>
      <c r="C11" s="10" t="s">
        <v>58</v>
      </c>
      <c r="D11" s="10" t="s">
        <v>209</v>
      </c>
      <c r="E11" s="11">
        <v>61</v>
      </c>
      <c r="F11" s="12">
        <v>114.87175156880809</v>
      </c>
      <c r="G11" s="12">
        <v>197.12420937517689</v>
      </c>
      <c r="H11" s="12">
        <v>1.639344262295082</v>
      </c>
      <c r="I11" s="12">
        <v>10.16666666666667</v>
      </c>
    </row>
    <row r="12" spans="1:9" ht="32.1" customHeight="1" x14ac:dyDescent="0.25">
      <c r="A12" s="10" t="s">
        <v>56</v>
      </c>
      <c r="B12" s="10" t="s">
        <v>65</v>
      </c>
      <c r="C12" s="10" t="s">
        <v>58</v>
      </c>
      <c r="D12" s="10" t="s">
        <v>210</v>
      </c>
      <c r="E12" s="11">
        <v>600</v>
      </c>
      <c r="F12" s="12">
        <v>139.93095552147389</v>
      </c>
      <c r="G12" s="12">
        <v>250.6875731090521</v>
      </c>
      <c r="H12" s="12">
        <v>1.5</v>
      </c>
      <c r="I12" s="12">
        <v>100</v>
      </c>
    </row>
    <row r="13" spans="1:9" ht="32.1" customHeight="1" x14ac:dyDescent="0.25">
      <c r="A13" s="10" t="s">
        <v>56</v>
      </c>
      <c r="B13" s="10" t="s">
        <v>65</v>
      </c>
      <c r="C13" s="10" t="s">
        <v>58</v>
      </c>
      <c r="D13" s="10" t="s">
        <v>211</v>
      </c>
      <c r="E13" s="11">
        <v>10</v>
      </c>
      <c r="F13" s="12">
        <v>182.67738267847599</v>
      </c>
      <c r="G13" s="12">
        <v>214.65807917504529</v>
      </c>
      <c r="H13" s="12">
        <v>0</v>
      </c>
      <c r="I13" s="12">
        <v>10</v>
      </c>
    </row>
    <row r="14" spans="1:9" ht="32.1" customHeight="1" x14ac:dyDescent="0.25">
      <c r="A14" s="10" t="s">
        <v>56</v>
      </c>
      <c r="B14" s="10" t="s">
        <v>65</v>
      </c>
      <c r="C14" s="10" t="s">
        <v>58</v>
      </c>
      <c r="D14" s="10" t="s">
        <v>212</v>
      </c>
      <c r="E14" s="11">
        <v>100</v>
      </c>
      <c r="F14" s="12">
        <v>161.07602642516181</v>
      </c>
      <c r="G14" s="12">
        <v>506.10443775899091</v>
      </c>
      <c r="H14" s="12">
        <v>1</v>
      </c>
      <c r="I14" s="12">
        <v>100</v>
      </c>
    </row>
    <row r="15" spans="1:9" ht="32.1" customHeight="1" x14ac:dyDescent="0.25">
      <c r="A15" s="10" t="s">
        <v>56</v>
      </c>
      <c r="B15" s="10" t="s">
        <v>65</v>
      </c>
      <c r="C15" s="10" t="s">
        <v>58</v>
      </c>
      <c r="D15" s="10" t="s">
        <v>213</v>
      </c>
      <c r="E15" s="11">
        <v>59</v>
      </c>
      <c r="F15" s="12">
        <v>100.89164573624009</v>
      </c>
      <c r="G15" s="12">
        <v>154.6507845168494</v>
      </c>
      <c r="H15" s="12">
        <v>0</v>
      </c>
      <c r="I15" s="12">
        <v>9.8333333333333339</v>
      </c>
    </row>
    <row r="16" spans="1:9" ht="32.1" customHeight="1" x14ac:dyDescent="0.25">
      <c r="A16" s="10" t="s">
        <v>56</v>
      </c>
      <c r="B16" s="10" t="s">
        <v>66</v>
      </c>
      <c r="C16" s="10" t="s">
        <v>58</v>
      </c>
      <c r="D16" s="10" t="s">
        <v>209</v>
      </c>
      <c r="E16" s="11">
        <v>61</v>
      </c>
      <c r="F16" s="12">
        <v>124.3544644023695</v>
      </c>
      <c r="G16" s="12">
        <v>215.41147458900579</v>
      </c>
      <c r="H16" s="12">
        <v>1.639344262295082</v>
      </c>
      <c r="I16" s="12">
        <v>10.16666666666667</v>
      </c>
    </row>
    <row r="17" spans="1:9" ht="32.1" customHeight="1" x14ac:dyDescent="0.25">
      <c r="A17" s="10" t="s">
        <v>56</v>
      </c>
      <c r="B17" s="10" t="s">
        <v>66</v>
      </c>
      <c r="C17" s="10" t="s">
        <v>58</v>
      </c>
      <c r="D17" s="10" t="s">
        <v>210</v>
      </c>
      <c r="E17" s="11">
        <v>600</v>
      </c>
      <c r="F17" s="12">
        <v>184.06299136255521</v>
      </c>
      <c r="G17" s="12">
        <v>315.75733644028969</v>
      </c>
      <c r="H17" s="12">
        <v>1.833333333333333</v>
      </c>
      <c r="I17" s="12">
        <v>100</v>
      </c>
    </row>
    <row r="18" spans="1:9" ht="32.1" customHeight="1" x14ac:dyDescent="0.25">
      <c r="A18" s="10" t="s">
        <v>56</v>
      </c>
      <c r="B18" s="10" t="s">
        <v>66</v>
      </c>
      <c r="C18" s="10" t="s">
        <v>58</v>
      </c>
      <c r="D18" s="10" t="s">
        <v>211</v>
      </c>
      <c r="E18" s="11">
        <v>10</v>
      </c>
      <c r="F18" s="12">
        <v>119.4018073946917</v>
      </c>
      <c r="G18" s="12">
        <v>140.02621882403281</v>
      </c>
      <c r="H18" s="12">
        <v>10</v>
      </c>
      <c r="I18" s="12">
        <v>10</v>
      </c>
    </row>
    <row r="19" spans="1:9" ht="32.1" customHeight="1" x14ac:dyDescent="0.25">
      <c r="A19" s="10" t="s">
        <v>56</v>
      </c>
      <c r="B19" s="10" t="s">
        <v>66</v>
      </c>
      <c r="C19" s="10" t="s">
        <v>58</v>
      </c>
      <c r="D19" s="10" t="s">
        <v>212</v>
      </c>
      <c r="E19" s="11">
        <v>100</v>
      </c>
      <c r="F19" s="12">
        <v>148.14545331973159</v>
      </c>
      <c r="G19" s="12">
        <v>185.5291184764659</v>
      </c>
      <c r="H19" s="12">
        <v>1</v>
      </c>
      <c r="I19" s="12">
        <v>100</v>
      </c>
    </row>
    <row r="20" spans="1:9" ht="32.1" customHeight="1" x14ac:dyDescent="0.25">
      <c r="A20" s="10" t="s">
        <v>56</v>
      </c>
      <c r="B20" s="10" t="s">
        <v>66</v>
      </c>
      <c r="C20" s="10" t="s">
        <v>58</v>
      </c>
      <c r="D20" s="10" t="s">
        <v>213</v>
      </c>
      <c r="E20" s="11">
        <v>59</v>
      </c>
      <c r="F20" s="12">
        <v>147.71876991877079</v>
      </c>
      <c r="G20" s="12">
        <v>181.53693362636491</v>
      </c>
      <c r="H20" s="12">
        <v>1.6949152542372881</v>
      </c>
      <c r="I20" s="12">
        <v>9.8333333333333339</v>
      </c>
    </row>
    <row r="21" spans="1:9" ht="32.1" customHeight="1" x14ac:dyDescent="0.25">
      <c r="A21" s="10" t="s">
        <v>56</v>
      </c>
      <c r="B21" s="10" t="s">
        <v>67</v>
      </c>
      <c r="C21" s="10" t="s">
        <v>58</v>
      </c>
      <c r="D21" s="10" t="s">
        <v>209</v>
      </c>
      <c r="E21" s="11">
        <v>61</v>
      </c>
      <c r="F21" s="12">
        <v>130.27440864511561</v>
      </c>
      <c r="G21" s="12">
        <v>177.62516383756531</v>
      </c>
      <c r="H21" s="12">
        <v>3.278688524590164</v>
      </c>
      <c r="I21" s="12">
        <v>10.16666666666667</v>
      </c>
    </row>
    <row r="22" spans="1:9" ht="32.1" customHeight="1" x14ac:dyDescent="0.25">
      <c r="A22" s="10" t="s">
        <v>56</v>
      </c>
      <c r="B22" s="10" t="s">
        <v>67</v>
      </c>
      <c r="C22" s="10" t="s">
        <v>58</v>
      </c>
      <c r="D22" s="10" t="s">
        <v>210</v>
      </c>
      <c r="E22" s="11">
        <v>600</v>
      </c>
      <c r="F22" s="12">
        <v>151.06795874484601</v>
      </c>
      <c r="G22" s="12">
        <v>248.41999297437809</v>
      </c>
      <c r="H22" s="12">
        <v>0.83333333333333337</v>
      </c>
      <c r="I22" s="12">
        <v>100</v>
      </c>
    </row>
    <row r="23" spans="1:9" ht="32.1" customHeight="1" x14ac:dyDescent="0.25">
      <c r="A23" s="10" t="s">
        <v>56</v>
      </c>
      <c r="B23" s="10" t="s">
        <v>67</v>
      </c>
      <c r="C23" s="10" t="s">
        <v>58</v>
      </c>
      <c r="D23" s="10" t="s">
        <v>211</v>
      </c>
      <c r="E23" s="11">
        <v>10</v>
      </c>
      <c r="F23" s="12">
        <v>62.277299055010133</v>
      </c>
      <c r="G23" s="12">
        <v>62.465419762660289</v>
      </c>
      <c r="H23" s="12">
        <v>0</v>
      </c>
      <c r="I23" s="12">
        <v>10</v>
      </c>
    </row>
    <row r="24" spans="1:9" ht="32.1" customHeight="1" x14ac:dyDescent="0.25">
      <c r="A24" s="10" t="s">
        <v>56</v>
      </c>
      <c r="B24" s="10" t="s">
        <v>67</v>
      </c>
      <c r="C24" s="10" t="s">
        <v>58</v>
      </c>
      <c r="D24" s="10" t="s">
        <v>212</v>
      </c>
      <c r="E24" s="11">
        <v>100</v>
      </c>
      <c r="F24" s="12">
        <v>150.48160710537121</v>
      </c>
      <c r="G24" s="12">
        <v>931.94582002667403</v>
      </c>
      <c r="H24" s="12">
        <v>1</v>
      </c>
      <c r="I24" s="12">
        <v>100</v>
      </c>
    </row>
    <row r="25" spans="1:9" ht="32.1" customHeight="1" x14ac:dyDescent="0.25">
      <c r="A25" s="10" t="s">
        <v>56</v>
      </c>
      <c r="B25" s="10" t="s">
        <v>67</v>
      </c>
      <c r="C25" s="10" t="s">
        <v>58</v>
      </c>
      <c r="D25" s="10" t="s">
        <v>213</v>
      </c>
      <c r="E25" s="11">
        <v>59</v>
      </c>
      <c r="F25" s="12">
        <v>110.31370721728101</v>
      </c>
      <c r="G25" s="12">
        <v>154.6056121866954</v>
      </c>
      <c r="H25" s="12">
        <v>0</v>
      </c>
      <c r="I25" s="12">
        <v>9.8333333333333339</v>
      </c>
    </row>
    <row r="26" spans="1:9" ht="32.1" customHeight="1" x14ac:dyDescent="0.25">
      <c r="A26" s="10" t="s">
        <v>56</v>
      </c>
      <c r="B26" s="10" t="s">
        <v>68</v>
      </c>
      <c r="C26" s="10" t="s">
        <v>58</v>
      </c>
      <c r="D26" s="10" t="s">
        <v>209</v>
      </c>
      <c r="E26" s="11">
        <v>61</v>
      </c>
      <c r="F26" s="12">
        <v>102.5545375613199</v>
      </c>
      <c r="G26" s="12">
        <v>216.58837009552431</v>
      </c>
      <c r="H26" s="12">
        <v>0</v>
      </c>
      <c r="I26" s="12">
        <v>10.16666666666667</v>
      </c>
    </row>
    <row r="27" spans="1:9" ht="32.1" customHeight="1" x14ac:dyDescent="0.25">
      <c r="A27" s="10" t="s">
        <v>56</v>
      </c>
      <c r="B27" s="10" t="s">
        <v>68</v>
      </c>
      <c r="C27" s="10" t="s">
        <v>58</v>
      </c>
      <c r="D27" s="10" t="s">
        <v>210</v>
      </c>
      <c r="E27" s="11">
        <v>600</v>
      </c>
      <c r="F27" s="12">
        <v>182.32230259533719</v>
      </c>
      <c r="G27" s="12">
        <v>353.79878601666928</v>
      </c>
      <c r="H27" s="12">
        <v>0.33333333333333331</v>
      </c>
      <c r="I27" s="12">
        <v>100</v>
      </c>
    </row>
    <row r="28" spans="1:9" ht="32.1" customHeight="1" x14ac:dyDescent="0.25">
      <c r="A28" s="10" t="s">
        <v>56</v>
      </c>
      <c r="B28" s="10" t="s">
        <v>68</v>
      </c>
      <c r="C28" s="10" t="s">
        <v>58</v>
      </c>
      <c r="D28" s="10" t="s">
        <v>211</v>
      </c>
      <c r="E28" s="11">
        <v>10</v>
      </c>
      <c r="F28" s="12">
        <v>510.75452659151898</v>
      </c>
      <c r="G28" s="12">
        <v>786.51482274057344</v>
      </c>
      <c r="H28" s="12">
        <v>0</v>
      </c>
      <c r="I28" s="12">
        <v>10</v>
      </c>
    </row>
    <row r="29" spans="1:9" ht="32.1" customHeight="1" x14ac:dyDescent="0.25">
      <c r="A29" s="10" t="s">
        <v>56</v>
      </c>
      <c r="B29" s="10" t="s">
        <v>68</v>
      </c>
      <c r="C29" s="10" t="s">
        <v>58</v>
      </c>
      <c r="D29" s="10" t="s">
        <v>212</v>
      </c>
      <c r="E29" s="11">
        <v>100</v>
      </c>
      <c r="F29" s="12">
        <v>136.43185837777071</v>
      </c>
      <c r="G29" s="12">
        <v>270.25433470960479</v>
      </c>
      <c r="H29" s="12">
        <v>3</v>
      </c>
      <c r="I29" s="12">
        <v>100</v>
      </c>
    </row>
    <row r="30" spans="1:9" ht="32.1" customHeight="1" x14ac:dyDescent="0.25">
      <c r="A30" s="10" t="s">
        <v>56</v>
      </c>
      <c r="B30" s="10" t="s">
        <v>68</v>
      </c>
      <c r="C30" s="10" t="s">
        <v>58</v>
      </c>
      <c r="D30" s="10" t="s">
        <v>213</v>
      </c>
      <c r="E30" s="11">
        <v>59</v>
      </c>
      <c r="F30" s="12">
        <v>133.3931163609567</v>
      </c>
      <c r="G30" s="12">
        <v>443.75919143777548</v>
      </c>
      <c r="H30" s="12">
        <v>0</v>
      </c>
      <c r="I30" s="12">
        <v>9.8333333333333339</v>
      </c>
    </row>
    <row r="31" spans="1:9" ht="32.1" customHeight="1" x14ac:dyDescent="0.25">
      <c r="A31" s="10" t="s">
        <v>56</v>
      </c>
      <c r="B31" s="10" t="s">
        <v>93</v>
      </c>
      <c r="C31" s="10" t="s">
        <v>94</v>
      </c>
      <c r="D31" s="10" t="s">
        <v>209</v>
      </c>
      <c r="E31" s="11">
        <v>61</v>
      </c>
      <c r="F31" s="12">
        <v>92.309887817454481</v>
      </c>
      <c r="G31" s="12">
        <v>393.88287814085629</v>
      </c>
      <c r="H31" s="12">
        <v>1.639344262295082</v>
      </c>
      <c r="I31" s="12">
        <v>10.16666666666667</v>
      </c>
    </row>
    <row r="32" spans="1:9" ht="32.1" customHeight="1" x14ac:dyDescent="0.25">
      <c r="A32" s="10" t="s">
        <v>56</v>
      </c>
      <c r="B32" s="10" t="s">
        <v>93</v>
      </c>
      <c r="C32" s="10" t="s">
        <v>94</v>
      </c>
      <c r="D32" s="10" t="s">
        <v>210</v>
      </c>
      <c r="E32" s="11">
        <v>600</v>
      </c>
      <c r="F32" s="12">
        <v>212.35108367395139</v>
      </c>
      <c r="G32" s="12">
        <v>367.091384605852</v>
      </c>
      <c r="H32" s="12">
        <v>1.166666666666667</v>
      </c>
      <c r="I32" s="12">
        <v>100</v>
      </c>
    </row>
    <row r="33" spans="1:9" ht="32.1" customHeight="1" x14ac:dyDescent="0.25">
      <c r="A33" s="10" t="s">
        <v>56</v>
      </c>
      <c r="B33" s="10" t="s">
        <v>93</v>
      </c>
      <c r="C33" s="10" t="s">
        <v>94</v>
      </c>
      <c r="D33" s="10" t="s">
        <v>211</v>
      </c>
      <c r="E33" s="11">
        <v>10</v>
      </c>
      <c r="F33" s="12">
        <v>149.26582380848939</v>
      </c>
      <c r="G33" s="12">
        <v>172.16497018171199</v>
      </c>
      <c r="H33" s="12">
        <v>0</v>
      </c>
      <c r="I33" s="12">
        <v>10</v>
      </c>
    </row>
    <row r="34" spans="1:9" ht="32.1" customHeight="1" x14ac:dyDescent="0.25">
      <c r="A34" s="10" t="s">
        <v>56</v>
      </c>
      <c r="B34" s="10" t="s">
        <v>93</v>
      </c>
      <c r="C34" s="10" t="s">
        <v>94</v>
      </c>
      <c r="D34" s="10" t="s">
        <v>212</v>
      </c>
      <c r="E34" s="11">
        <v>100</v>
      </c>
      <c r="F34" s="12">
        <v>229.11010286382049</v>
      </c>
      <c r="G34" s="12">
        <v>1328.174887640829</v>
      </c>
      <c r="H34" s="12">
        <v>3</v>
      </c>
      <c r="I34" s="12">
        <v>100</v>
      </c>
    </row>
    <row r="35" spans="1:9" ht="32.1" customHeight="1" x14ac:dyDescent="0.25">
      <c r="A35" s="10" t="s">
        <v>56</v>
      </c>
      <c r="B35" s="10" t="s">
        <v>93</v>
      </c>
      <c r="C35" s="10" t="s">
        <v>94</v>
      </c>
      <c r="D35" s="10" t="s">
        <v>213</v>
      </c>
      <c r="E35" s="11">
        <v>59</v>
      </c>
      <c r="F35" s="12">
        <v>127.0597115636521</v>
      </c>
      <c r="G35" s="12">
        <v>151.65841215093809</v>
      </c>
      <c r="H35" s="12">
        <v>1.6949152542372881</v>
      </c>
      <c r="I35" s="12">
        <v>9.8333333333333339</v>
      </c>
    </row>
    <row r="36" spans="1:9" ht="32.1" customHeight="1" x14ac:dyDescent="0.25">
      <c r="A36" s="10" t="s">
        <v>56</v>
      </c>
      <c r="B36" s="10" t="s">
        <v>95</v>
      </c>
      <c r="C36" s="10" t="s">
        <v>94</v>
      </c>
      <c r="D36" s="10" t="s">
        <v>209</v>
      </c>
      <c r="E36" s="11">
        <v>61</v>
      </c>
      <c r="F36" s="12">
        <v>118.36205764635859</v>
      </c>
      <c r="G36" s="12">
        <v>146.37852903096709</v>
      </c>
      <c r="H36" s="12">
        <v>0</v>
      </c>
      <c r="I36" s="12">
        <v>10.16666666666667</v>
      </c>
    </row>
    <row r="37" spans="1:9" ht="32.1" customHeight="1" x14ac:dyDescent="0.25">
      <c r="A37" s="10" t="s">
        <v>56</v>
      </c>
      <c r="B37" s="10" t="s">
        <v>95</v>
      </c>
      <c r="C37" s="10" t="s">
        <v>94</v>
      </c>
      <c r="D37" s="10" t="s">
        <v>210</v>
      </c>
      <c r="E37" s="11">
        <v>600</v>
      </c>
      <c r="F37" s="12">
        <v>197.88254497930561</v>
      </c>
      <c r="G37" s="12">
        <v>296.74881700650309</v>
      </c>
      <c r="H37" s="12">
        <v>1.666666666666667</v>
      </c>
      <c r="I37" s="12">
        <v>100</v>
      </c>
    </row>
    <row r="38" spans="1:9" ht="32.1" customHeight="1" x14ac:dyDescent="0.25">
      <c r="A38" s="10" t="s">
        <v>56</v>
      </c>
      <c r="B38" s="10" t="s">
        <v>95</v>
      </c>
      <c r="C38" s="10" t="s">
        <v>94</v>
      </c>
      <c r="D38" s="10" t="s">
        <v>211</v>
      </c>
      <c r="E38" s="11">
        <v>10</v>
      </c>
      <c r="F38" s="12">
        <v>88.522981308517004</v>
      </c>
      <c r="G38" s="12">
        <v>91.557831709983361</v>
      </c>
      <c r="H38" s="12">
        <v>0</v>
      </c>
      <c r="I38" s="12">
        <v>10</v>
      </c>
    </row>
    <row r="39" spans="1:9" ht="32.1" customHeight="1" x14ac:dyDescent="0.25">
      <c r="A39" s="10" t="s">
        <v>56</v>
      </c>
      <c r="B39" s="10" t="s">
        <v>95</v>
      </c>
      <c r="C39" s="10" t="s">
        <v>94</v>
      </c>
      <c r="D39" s="10" t="s">
        <v>212</v>
      </c>
      <c r="E39" s="11">
        <v>100</v>
      </c>
      <c r="F39" s="12">
        <v>219.64346966386441</v>
      </c>
      <c r="G39" s="12">
        <v>352.93652097984449</v>
      </c>
      <c r="H39" s="12">
        <v>0</v>
      </c>
      <c r="I39" s="12">
        <v>100</v>
      </c>
    </row>
    <row r="40" spans="1:9" ht="32.1" customHeight="1" x14ac:dyDescent="0.25">
      <c r="A40" s="10" t="s">
        <v>56</v>
      </c>
      <c r="B40" s="10" t="s">
        <v>95</v>
      </c>
      <c r="C40" s="10" t="s">
        <v>94</v>
      </c>
      <c r="D40" s="10" t="s">
        <v>213</v>
      </c>
      <c r="E40" s="11">
        <v>59</v>
      </c>
      <c r="F40" s="12">
        <v>95.078217373234395</v>
      </c>
      <c r="G40" s="12">
        <v>124.8596166961497</v>
      </c>
      <c r="H40" s="12">
        <v>0</v>
      </c>
      <c r="I40" s="12">
        <v>9.8333333333333339</v>
      </c>
    </row>
    <row r="41" spans="1:9" ht="32.1" customHeight="1" x14ac:dyDescent="0.25">
      <c r="A41" s="10" t="s">
        <v>56</v>
      </c>
      <c r="B41" s="10" t="s">
        <v>96</v>
      </c>
      <c r="C41" s="10" t="s">
        <v>94</v>
      </c>
      <c r="D41" s="10" t="s">
        <v>209</v>
      </c>
      <c r="E41" s="11">
        <v>61</v>
      </c>
      <c r="F41" s="12">
        <v>118.22953492071611</v>
      </c>
      <c r="G41" s="12">
        <v>179.8429744281656</v>
      </c>
      <c r="H41" s="12">
        <v>3.278688524590164</v>
      </c>
      <c r="I41" s="12">
        <v>10.16666666666667</v>
      </c>
    </row>
    <row r="42" spans="1:9" ht="32.1" customHeight="1" x14ac:dyDescent="0.25">
      <c r="A42" s="10" t="s">
        <v>56</v>
      </c>
      <c r="B42" s="10" t="s">
        <v>96</v>
      </c>
      <c r="C42" s="10" t="s">
        <v>94</v>
      </c>
      <c r="D42" s="10" t="s">
        <v>210</v>
      </c>
      <c r="E42" s="11">
        <v>600</v>
      </c>
      <c r="F42" s="12">
        <v>231.2878362886884</v>
      </c>
      <c r="G42" s="12">
        <v>363.9503205209698</v>
      </c>
      <c r="H42" s="12">
        <v>0.66666666666666674</v>
      </c>
      <c r="I42" s="12">
        <v>100</v>
      </c>
    </row>
    <row r="43" spans="1:9" ht="32.1" customHeight="1" x14ac:dyDescent="0.25">
      <c r="A43" s="10" t="s">
        <v>56</v>
      </c>
      <c r="B43" s="10" t="s">
        <v>96</v>
      </c>
      <c r="C43" s="10" t="s">
        <v>94</v>
      </c>
      <c r="D43" s="10" t="s">
        <v>211</v>
      </c>
      <c r="E43" s="11">
        <v>10</v>
      </c>
      <c r="F43" s="12">
        <v>109.45360862758869</v>
      </c>
      <c r="G43" s="12">
        <v>115.6625040222969</v>
      </c>
      <c r="H43" s="12">
        <v>0</v>
      </c>
      <c r="I43" s="12">
        <v>10</v>
      </c>
    </row>
    <row r="44" spans="1:9" ht="32.1" customHeight="1" x14ac:dyDescent="0.25">
      <c r="A44" s="10" t="s">
        <v>56</v>
      </c>
      <c r="B44" s="10" t="s">
        <v>96</v>
      </c>
      <c r="C44" s="10" t="s">
        <v>94</v>
      </c>
      <c r="D44" s="10" t="s">
        <v>212</v>
      </c>
      <c r="E44" s="11">
        <v>100</v>
      </c>
      <c r="F44" s="12">
        <v>233.91853396090619</v>
      </c>
      <c r="G44" s="12">
        <v>315.87313806720169</v>
      </c>
      <c r="H44" s="12">
        <v>0</v>
      </c>
      <c r="I44" s="12">
        <v>100</v>
      </c>
    </row>
    <row r="45" spans="1:9" ht="32.1" customHeight="1" x14ac:dyDescent="0.25">
      <c r="A45" s="10" t="s">
        <v>56</v>
      </c>
      <c r="B45" s="10" t="s">
        <v>96</v>
      </c>
      <c r="C45" s="10" t="s">
        <v>94</v>
      </c>
      <c r="D45" s="10" t="s">
        <v>213</v>
      </c>
      <c r="E45" s="11">
        <v>59</v>
      </c>
      <c r="F45" s="12">
        <v>159.27279317436211</v>
      </c>
      <c r="G45" s="12">
        <v>289.05519915387998</v>
      </c>
      <c r="H45" s="12">
        <v>0</v>
      </c>
      <c r="I45" s="12">
        <v>9.8333333333333339</v>
      </c>
    </row>
    <row r="46" spans="1:9" ht="32.1" customHeight="1" x14ac:dyDescent="0.25">
      <c r="A46" s="10" t="s">
        <v>56</v>
      </c>
      <c r="B46" s="10" t="s">
        <v>97</v>
      </c>
      <c r="C46" s="10" t="s">
        <v>94</v>
      </c>
      <c r="D46" s="10" t="s">
        <v>209</v>
      </c>
      <c r="E46" s="11">
        <v>61</v>
      </c>
      <c r="F46" s="12">
        <v>82.599230342979979</v>
      </c>
      <c r="G46" s="12">
        <v>107.1240648164048</v>
      </c>
      <c r="H46" s="12">
        <v>0</v>
      </c>
      <c r="I46" s="12">
        <v>10.16666666666667</v>
      </c>
    </row>
    <row r="47" spans="1:9" ht="32.1" customHeight="1" x14ac:dyDescent="0.25">
      <c r="A47" s="10" t="s">
        <v>56</v>
      </c>
      <c r="B47" s="10" t="s">
        <v>97</v>
      </c>
      <c r="C47" s="10" t="s">
        <v>94</v>
      </c>
      <c r="D47" s="10" t="s">
        <v>210</v>
      </c>
      <c r="E47" s="11">
        <v>600</v>
      </c>
      <c r="F47" s="12">
        <v>176.0582672325024</v>
      </c>
      <c r="G47" s="12">
        <v>319.6924341173771</v>
      </c>
      <c r="H47" s="12">
        <v>1.5</v>
      </c>
      <c r="I47" s="12">
        <v>100</v>
      </c>
    </row>
    <row r="48" spans="1:9" ht="32.1" customHeight="1" x14ac:dyDescent="0.25">
      <c r="A48" s="10" t="s">
        <v>56</v>
      </c>
      <c r="B48" s="10" t="s">
        <v>97</v>
      </c>
      <c r="C48" s="10" t="s">
        <v>94</v>
      </c>
      <c r="D48" s="10" t="s">
        <v>211</v>
      </c>
      <c r="E48" s="11">
        <v>10</v>
      </c>
      <c r="F48" s="12">
        <v>358.87442208346562</v>
      </c>
      <c r="G48" s="12">
        <v>414.49589993337747</v>
      </c>
      <c r="H48" s="12">
        <v>0</v>
      </c>
      <c r="I48" s="12">
        <v>10</v>
      </c>
    </row>
    <row r="49" spans="1:9" ht="32.1" customHeight="1" x14ac:dyDescent="0.25">
      <c r="A49" s="10" t="s">
        <v>56</v>
      </c>
      <c r="B49" s="10" t="s">
        <v>97</v>
      </c>
      <c r="C49" s="10" t="s">
        <v>94</v>
      </c>
      <c r="D49" s="10" t="s">
        <v>212</v>
      </c>
      <c r="E49" s="11">
        <v>100</v>
      </c>
      <c r="F49" s="12">
        <v>195.86493364993629</v>
      </c>
      <c r="G49" s="12">
        <v>313.12684142358978</v>
      </c>
      <c r="H49" s="12">
        <v>1</v>
      </c>
      <c r="I49" s="12">
        <v>100</v>
      </c>
    </row>
    <row r="50" spans="1:9" ht="32.1" customHeight="1" x14ac:dyDescent="0.25">
      <c r="A50" s="10" t="s">
        <v>56</v>
      </c>
      <c r="B50" s="10" t="s">
        <v>97</v>
      </c>
      <c r="C50" s="10" t="s">
        <v>94</v>
      </c>
      <c r="D50" s="10" t="s">
        <v>213</v>
      </c>
      <c r="E50" s="11">
        <v>59</v>
      </c>
      <c r="F50" s="12">
        <v>75.256852857423354</v>
      </c>
      <c r="G50" s="12">
        <v>149.46053076378629</v>
      </c>
      <c r="H50" s="12">
        <v>1.6949152542372881</v>
      </c>
      <c r="I50" s="12">
        <v>9.8333333333333339</v>
      </c>
    </row>
    <row r="51" spans="1:9" ht="32.1" customHeight="1" x14ac:dyDescent="0.25">
      <c r="A51" s="10" t="s">
        <v>56</v>
      </c>
      <c r="B51" s="10" t="s">
        <v>98</v>
      </c>
      <c r="C51" s="10" t="s">
        <v>94</v>
      </c>
      <c r="D51" s="10" t="s">
        <v>209</v>
      </c>
      <c r="E51" s="11">
        <v>61</v>
      </c>
      <c r="F51" s="12">
        <v>78.212147023301512</v>
      </c>
      <c r="G51" s="12">
        <v>99.249192518625406</v>
      </c>
      <c r="H51" s="12">
        <v>0</v>
      </c>
      <c r="I51" s="12">
        <v>10.16666666666667</v>
      </c>
    </row>
    <row r="52" spans="1:9" ht="32.1" customHeight="1" x14ac:dyDescent="0.25">
      <c r="A52" s="10" t="s">
        <v>56</v>
      </c>
      <c r="B52" s="10" t="s">
        <v>98</v>
      </c>
      <c r="C52" s="10" t="s">
        <v>94</v>
      </c>
      <c r="D52" s="10" t="s">
        <v>210</v>
      </c>
      <c r="E52" s="11">
        <v>600</v>
      </c>
      <c r="F52" s="12">
        <v>211.90068508412091</v>
      </c>
      <c r="G52" s="12">
        <v>297.67576885790947</v>
      </c>
      <c r="H52" s="12">
        <v>2.5</v>
      </c>
      <c r="I52" s="12">
        <v>100</v>
      </c>
    </row>
    <row r="53" spans="1:9" ht="32.1" customHeight="1" x14ac:dyDescent="0.25">
      <c r="A53" s="10" t="s">
        <v>56</v>
      </c>
      <c r="B53" s="10" t="s">
        <v>98</v>
      </c>
      <c r="C53" s="10" t="s">
        <v>94</v>
      </c>
      <c r="D53" s="10" t="s">
        <v>211</v>
      </c>
      <c r="E53" s="11">
        <v>10</v>
      </c>
      <c r="F53" s="12">
        <v>255.91793616912389</v>
      </c>
      <c r="G53" s="12">
        <v>259.88552062454988</v>
      </c>
      <c r="H53" s="12">
        <v>0</v>
      </c>
      <c r="I53" s="12">
        <v>10</v>
      </c>
    </row>
    <row r="54" spans="1:9" ht="32.1" customHeight="1" x14ac:dyDescent="0.25">
      <c r="A54" s="10" t="s">
        <v>56</v>
      </c>
      <c r="B54" s="10" t="s">
        <v>98</v>
      </c>
      <c r="C54" s="10" t="s">
        <v>94</v>
      </c>
      <c r="D54" s="10" t="s">
        <v>212</v>
      </c>
      <c r="E54" s="11">
        <v>100</v>
      </c>
      <c r="F54" s="12">
        <v>198.7850418437541</v>
      </c>
      <c r="G54" s="12">
        <v>282.17600018823521</v>
      </c>
      <c r="H54" s="12">
        <v>5</v>
      </c>
      <c r="I54" s="12">
        <v>100</v>
      </c>
    </row>
    <row r="55" spans="1:9" ht="32.1" customHeight="1" x14ac:dyDescent="0.25">
      <c r="A55" s="10" t="s">
        <v>56</v>
      </c>
      <c r="B55" s="10" t="s">
        <v>98</v>
      </c>
      <c r="C55" s="10" t="s">
        <v>94</v>
      </c>
      <c r="D55" s="10" t="s">
        <v>213</v>
      </c>
      <c r="E55" s="11">
        <v>59</v>
      </c>
      <c r="F55" s="12">
        <v>132.43780119034719</v>
      </c>
      <c r="G55" s="12">
        <v>171.3555323710797</v>
      </c>
      <c r="H55" s="12">
        <v>1.6949152542372881</v>
      </c>
      <c r="I55" s="12">
        <v>9.8333333333333339</v>
      </c>
    </row>
    <row r="56" spans="1:9" ht="32.1" customHeight="1" x14ac:dyDescent="0.25">
      <c r="A56" s="10" t="s">
        <v>56</v>
      </c>
      <c r="B56" s="10" t="s">
        <v>120</v>
      </c>
      <c r="C56" s="10" t="s">
        <v>121</v>
      </c>
      <c r="D56" s="10" t="s">
        <v>209</v>
      </c>
      <c r="E56" s="11">
        <v>61</v>
      </c>
      <c r="F56" s="12">
        <v>80.70852575424037</v>
      </c>
      <c r="G56" s="12">
        <v>149.60435895715651</v>
      </c>
      <c r="H56" s="12">
        <v>0</v>
      </c>
      <c r="I56" s="12">
        <v>10.16666666666667</v>
      </c>
    </row>
    <row r="57" spans="1:9" ht="32.1" customHeight="1" x14ac:dyDescent="0.25">
      <c r="A57" s="10" t="s">
        <v>56</v>
      </c>
      <c r="B57" s="10" t="s">
        <v>120</v>
      </c>
      <c r="C57" s="10" t="s">
        <v>121</v>
      </c>
      <c r="D57" s="10" t="s">
        <v>210</v>
      </c>
      <c r="E57" s="11">
        <v>600</v>
      </c>
      <c r="F57" s="12">
        <v>128.96935751409691</v>
      </c>
      <c r="G57" s="12">
        <v>214.96568630353011</v>
      </c>
      <c r="H57" s="12">
        <v>1.5</v>
      </c>
      <c r="I57" s="12">
        <v>100</v>
      </c>
    </row>
    <row r="58" spans="1:9" ht="32.1" customHeight="1" x14ac:dyDescent="0.25">
      <c r="A58" s="10" t="s">
        <v>56</v>
      </c>
      <c r="B58" s="10" t="s">
        <v>120</v>
      </c>
      <c r="C58" s="10" t="s">
        <v>121</v>
      </c>
      <c r="D58" s="10" t="s">
        <v>211</v>
      </c>
      <c r="E58" s="11">
        <v>10</v>
      </c>
      <c r="F58" s="12">
        <v>131.29543381731321</v>
      </c>
      <c r="G58" s="12">
        <v>155.72497750291851</v>
      </c>
      <c r="H58" s="12">
        <v>0</v>
      </c>
      <c r="I58" s="12">
        <v>10</v>
      </c>
    </row>
    <row r="59" spans="1:9" ht="32.1" customHeight="1" x14ac:dyDescent="0.25">
      <c r="A59" s="10" t="s">
        <v>56</v>
      </c>
      <c r="B59" s="10" t="s">
        <v>120</v>
      </c>
      <c r="C59" s="10" t="s">
        <v>121</v>
      </c>
      <c r="D59" s="10" t="s">
        <v>212</v>
      </c>
      <c r="E59" s="11">
        <v>100</v>
      </c>
      <c r="F59" s="12">
        <v>167.69707819379059</v>
      </c>
      <c r="G59" s="12">
        <v>335.93623411103403</v>
      </c>
      <c r="H59" s="12">
        <v>2</v>
      </c>
      <c r="I59" s="12">
        <v>100</v>
      </c>
    </row>
    <row r="60" spans="1:9" ht="32.1" customHeight="1" x14ac:dyDescent="0.25">
      <c r="A60" s="10" t="s">
        <v>56</v>
      </c>
      <c r="B60" s="10" t="s">
        <v>120</v>
      </c>
      <c r="C60" s="10" t="s">
        <v>121</v>
      </c>
      <c r="D60" s="10" t="s">
        <v>213</v>
      </c>
      <c r="E60" s="11">
        <v>59</v>
      </c>
      <c r="F60" s="12">
        <v>121.52474370559931</v>
      </c>
      <c r="G60" s="12">
        <v>171.21412511208379</v>
      </c>
      <c r="H60" s="12">
        <v>3.3898305084745761</v>
      </c>
      <c r="I60" s="12">
        <v>9.8333333333333339</v>
      </c>
    </row>
    <row r="61" spans="1:9" ht="32.1" customHeight="1" x14ac:dyDescent="0.25">
      <c r="A61" s="10" t="s">
        <v>56</v>
      </c>
      <c r="B61" s="10" t="s">
        <v>122</v>
      </c>
      <c r="C61" s="10" t="s">
        <v>121</v>
      </c>
      <c r="D61" s="10" t="s">
        <v>209</v>
      </c>
      <c r="E61" s="11">
        <v>61</v>
      </c>
      <c r="F61" s="12">
        <v>97.768783370282804</v>
      </c>
      <c r="G61" s="12">
        <v>193.64488464104389</v>
      </c>
      <c r="H61" s="12">
        <v>1.639344262295082</v>
      </c>
      <c r="I61" s="12">
        <v>10.16666666666667</v>
      </c>
    </row>
    <row r="62" spans="1:9" ht="32.1" customHeight="1" x14ac:dyDescent="0.25">
      <c r="A62" s="10" t="s">
        <v>56</v>
      </c>
      <c r="B62" s="10" t="s">
        <v>122</v>
      </c>
      <c r="C62" s="10" t="s">
        <v>121</v>
      </c>
      <c r="D62" s="10" t="s">
        <v>210</v>
      </c>
      <c r="E62" s="11">
        <v>600</v>
      </c>
      <c r="F62" s="12">
        <v>125.5638046133961</v>
      </c>
      <c r="G62" s="12">
        <v>228.28995285443389</v>
      </c>
      <c r="H62" s="12">
        <v>0.66666666666666674</v>
      </c>
      <c r="I62" s="12">
        <v>100</v>
      </c>
    </row>
    <row r="63" spans="1:9" ht="32.1" customHeight="1" x14ac:dyDescent="0.25">
      <c r="A63" s="10" t="s">
        <v>56</v>
      </c>
      <c r="B63" s="10" t="s">
        <v>122</v>
      </c>
      <c r="C63" s="10" t="s">
        <v>121</v>
      </c>
      <c r="D63" s="10" t="s">
        <v>211</v>
      </c>
      <c r="E63" s="11">
        <v>10</v>
      </c>
      <c r="F63" s="12">
        <v>103.0798734387958</v>
      </c>
      <c r="G63" s="12">
        <v>106.78454669732641</v>
      </c>
      <c r="H63" s="12">
        <v>0</v>
      </c>
      <c r="I63" s="12">
        <v>10</v>
      </c>
    </row>
    <row r="64" spans="1:9" ht="32.1" customHeight="1" x14ac:dyDescent="0.25">
      <c r="A64" s="10" t="s">
        <v>56</v>
      </c>
      <c r="B64" s="10" t="s">
        <v>122</v>
      </c>
      <c r="C64" s="10" t="s">
        <v>121</v>
      </c>
      <c r="D64" s="10" t="s">
        <v>212</v>
      </c>
      <c r="E64" s="11">
        <v>100</v>
      </c>
      <c r="F64" s="12">
        <v>136.95236160668509</v>
      </c>
      <c r="G64" s="12">
        <v>236.4952413591574</v>
      </c>
      <c r="H64" s="12">
        <v>0</v>
      </c>
      <c r="I64" s="12">
        <v>100</v>
      </c>
    </row>
    <row r="65" spans="1:9" ht="32.1" customHeight="1" x14ac:dyDescent="0.25">
      <c r="A65" s="10" t="s">
        <v>56</v>
      </c>
      <c r="B65" s="10" t="s">
        <v>122</v>
      </c>
      <c r="C65" s="10" t="s">
        <v>121</v>
      </c>
      <c r="D65" s="10" t="s">
        <v>213</v>
      </c>
      <c r="E65" s="11">
        <v>59</v>
      </c>
      <c r="F65" s="12">
        <v>85.998943292353559</v>
      </c>
      <c r="G65" s="12">
        <v>138.9006914476472</v>
      </c>
      <c r="H65" s="12">
        <v>0</v>
      </c>
      <c r="I65" s="12">
        <v>9.8333333333333339</v>
      </c>
    </row>
    <row r="66" spans="1:9" ht="32.1" customHeight="1" x14ac:dyDescent="0.25">
      <c r="A66" s="10" t="s">
        <v>56</v>
      </c>
      <c r="B66" s="10" t="s">
        <v>123</v>
      </c>
      <c r="C66" s="10" t="s">
        <v>121</v>
      </c>
      <c r="D66" s="10" t="s">
        <v>209</v>
      </c>
      <c r="E66" s="11">
        <v>61</v>
      </c>
      <c r="F66" s="12">
        <v>124.599626902431</v>
      </c>
      <c r="G66" s="12">
        <v>135.0902986641793</v>
      </c>
      <c r="H66" s="12">
        <v>3.278688524590164</v>
      </c>
      <c r="I66" s="12">
        <v>10.16666666666667</v>
      </c>
    </row>
    <row r="67" spans="1:9" ht="32.1" customHeight="1" x14ac:dyDescent="0.25">
      <c r="A67" s="10" t="s">
        <v>56</v>
      </c>
      <c r="B67" s="10" t="s">
        <v>123</v>
      </c>
      <c r="C67" s="10" t="s">
        <v>121</v>
      </c>
      <c r="D67" s="10" t="s">
        <v>210</v>
      </c>
      <c r="E67" s="11">
        <v>600</v>
      </c>
      <c r="F67" s="12">
        <v>171.35031787760499</v>
      </c>
      <c r="G67" s="12">
        <v>226.86828174862859</v>
      </c>
      <c r="H67" s="12">
        <v>1.5</v>
      </c>
      <c r="I67" s="12">
        <v>100</v>
      </c>
    </row>
    <row r="68" spans="1:9" ht="32.1" customHeight="1" x14ac:dyDescent="0.25">
      <c r="A68" s="10" t="s">
        <v>56</v>
      </c>
      <c r="B68" s="10" t="s">
        <v>123</v>
      </c>
      <c r="C68" s="10" t="s">
        <v>121</v>
      </c>
      <c r="D68" s="10" t="s">
        <v>211</v>
      </c>
      <c r="E68" s="11">
        <v>10</v>
      </c>
      <c r="F68" s="12">
        <v>71.825884487689038</v>
      </c>
      <c r="G68" s="12">
        <v>72.586818417878661</v>
      </c>
      <c r="H68" s="12">
        <v>0</v>
      </c>
      <c r="I68" s="12">
        <v>10</v>
      </c>
    </row>
    <row r="69" spans="1:9" ht="32.1" customHeight="1" x14ac:dyDescent="0.25">
      <c r="A69" s="10" t="s">
        <v>56</v>
      </c>
      <c r="B69" s="10" t="s">
        <v>123</v>
      </c>
      <c r="C69" s="10" t="s">
        <v>121</v>
      </c>
      <c r="D69" s="10" t="s">
        <v>212</v>
      </c>
      <c r="E69" s="11">
        <v>100</v>
      </c>
      <c r="F69" s="12">
        <v>147.46250712137109</v>
      </c>
      <c r="G69" s="12">
        <v>226.74889574412521</v>
      </c>
      <c r="H69" s="12">
        <v>3</v>
      </c>
      <c r="I69" s="12">
        <v>100</v>
      </c>
    </row>
    <row r="70" spans="1:9" ht="32.1" customHeight="1" x14ac:dyDescent="0.25">
      <c r="A70" s="10" t="s">
        <v>56</v>
      </c>
      <c r="B70" s="10" t="s">
        <v>123</v>
      </c>
      <c r="C70" s="10" t="s">
        <v>121</v>
      </c>
      <c r="D70" s="10" t="s">
        <v>213</v>
      </c>
      <c r="E70" s="11">
        <v>59</v>
      </c>
      <c r="F70" s="12">
        <v>108.5236260858578</v>
      </c>
      <c r="G70" s="12">
        <v>143.01496654524939</v>
      </c>
      <c r="H70" s="12">
        <v>1.6949152542372881</v>
      </c>
      <c r="I70" s="12">
        <v>9.8333333333333339</v>
      </c>
    </row>
    <row r="71" spans="1:9" ht="32.1" customHeight="1" x14ac:dyDescent="0.25">
      <c r="A71" s="10" t="s">
        <v>56</v>
      </c>
      <c r="B71" s="10" t="s">
        <v>124</v>
      </c>
      <c r="C71" s="10" t="s">
        <v>121</v>
      </c>
      <c r="D71" s="10" t="s">
        <v>209</v>
      </c>
      <c r="E71" s="11">
        <v>61</v>
      </c>
      <c r="F71" s="12">
        <v>106.67240163712469</v>
      </c>
      <c r="G71" s="12">
        <v>146.8080420045379</v>
      </c>
      <c r="H71" s="12">
        <v>0</v>
      </c>
      <c r="I71" s="12">
        <v>10.16666666666667</v>
      </c>
    </row>
    <row r="72" spans="1:9" ht="32.1" customHeight="1" x14ac:dyDescent="0.25">
      <c r="A72" s="10" t="s">
        <v>56</v>
      </c>
      <c r="B72" s="10" t="s">
        <v>124</v>
      </c>
      <c r="C72" s="10" t="s">
        <v>121</v>
      </c>
      <c r="D72" s="10" t="s">
        <v>210</v>
      </c>
      <c r="E72" s="11">
        <v>600</v>
      </c>
      <c r="F72" s="12">
        <v>153.00339159298451</v>
      </c>
      <c r="G72" s="12">
        <v>254.00978804409149</v>
      </c>
      <c r="H72" s="12">
        <v>1.666666666666667</v>
      </c>
      <c r="I72" s="12">
        <v>100</v>
      </c>
    </row>
    <row r="73" spans="1:9" ht="32.1" customHeight="1" x14ac:dyDescent="0.25">
      <c r="A73" s="10" t="s">
        <v>56</v>
      </c>
      <c r="B73" s="10" t="s">
        <v>124</v>
      </c>
      <c r="C73" s="10" t="s">
        <v>121</v>
      </c>
      <c r="D73" s="10" t="s">
        <v>211</v>
      </c>
      <c r="E73" s="11">
        <v>10</v>
      </c>
      <c r="F73" s="12">
        <v>116.71967785997759</v>
      </c>
      <c r="G73" s="12">
        <v>119.5983678399766</v>
      </c>
      <c r="H73" s="12">
        <v>0</v>
      </c>
      <c r="I73" s="12">
        <v>10</v>
      </c>
    </row>
    <row r="74" spans="1:9" ht="32.1" customHeight="1" x14ac:dyDescent="0.25">
      <c r="A74" s="10" t="s">
        <v>56</v>
      </c>
      <c r="B74" s="10" t="s">
        <v>124</v>
      </c>
      <c r="C74" s="10" t="s">
        <v>121</v>
      </c>
      <c r="D74" s="10" t="s">
        <v>212</v>
      </c>
      <c r="E74" s="11">
        <v>100</v>
      </c>
      <c r="F74" s="12">
        <v>95.640256294818784</v>
      </c>
      <c r="G74" s="12">
        <v>119.6238814895181</v>
      </c>
      <c r="H74" s="12">
        <v>1</v>
      </c>
      <c r="I74" s="12">
        <v>100</v>
      </c>
    </row>
    <row r="75" spans="1:9" ht="32.1" customHeight="1" x14ac:dyDescent="0.25">
      <c r="A75" s="10" t="s">
        <v>56</v>
      </c>
      <c r="B75" s="10" t="s">
        <v>124</v>
      </c>
      <c r="C75" s="10" t="s">
        <v>121</v>
      </c>
      <c r="D75" s="10" t="s">
        <v>213</v>
      </c>
      <c r="E75" s="11">
        <v>59</v>
      </c>
      <c r="F75" s="12">
        <v>167.88596938825111</v>
      </c>
      <c r="G75" s="12">
        <v>241.67026439690929</v>
      </c>
      <c r="H75" s="12">
        <v>0</v>
      </c>
      <c r="I75" s="12">
        <v>9.8333333333333339</v>
      </c>
    </row>
    <row r="76" spans="1:9" ht="32.1" customHeight="1" x14ac:dyDescent="0.25">
      <c r="A76" s="10" t="s">
        <v>56</v>
      </c>
      <c r="B76" s="10" t="s">
        <v>125</v>
      </c>
      <c r="C76" s="10" t="s">
        <v>121</v>
      </c>
      <c r="D76" s="10" t="s">
        <v>209</v>
      </c>
      <c r="E76" s="11">
        <v>61</v>
      </c>
      <c r="F76" s="12">
        <v>83.7448531318514</v>
      </c>
      <c r="G76" s="12">
        <v>161.95893083092199</v>
      </c>
      <c r="H76" s="12">
        <v>1.639344262295082</v>
      </c>
      <c r="I76" s="12">
        <v>10.16666666666667</v>
      </c>
    </row>
    <row r="77" spans="1:9" ht="32.1" customHeight="1" x14ac:dyDescent="0.25">
      <c r="A77" s="10" t="s">
        <v>56</v>
      </c>
      <c r="B77" s="10" t="s">
        <v>125</v>
      </c>
      <c r="C77" s="10" t="s">
        <v>121</v>
      </c>
      <c r="D77" s="10" t="s">
        <v>210</v>
      </c>
      <c r="E77" s="11">
        <v>600</v>
      </c>
      <c r="F77" s="12">
        <v>161.69543114645589</v>
      </c>
      <c r="G77" s="12">
        <v>290.85243150058619</v>
      </c>
      <c r="H77" s="12">
        <v>1.5</v>
      </c>
      <c r="I77" s="12">
        <v>100</v>
      </c>
    </row>
    <row r="78" spans="1:9" ht="32.1" customHeight="1" x14ac:dyDescent="0.25">
      <c r="A78" s="10" t="s">
        <v>56</v>
      </c>
      <c r="B78" s="10" t="s">
        <v>125</v>
      </c>
      <c r="C78" s="10" t="s">
        <v>121</v>
      </c>
      <c r="D78" s="10" t="s">
        <v>211</v>
      </c>
      <c r="E78" s="11">
        <v>10</v>
      </c>
      <c r="F78" s="12">
        <v>212.88854297263899</v>
      </c>
      <c r="G78" s="12">
        <v>222.20293942900781</v>
      </c>
      <c r="H78" s="12">
        <v>0</v>
      </c>
      <c r="I78" s="12">
        <v>10</v>
      </c>
    </row>
    <row r="79" spans="1:9" ht="32.1" customHeight="1" x14ac:dyDescent="0.25">
      <c r="A79" s="10" t="s">
        <v>56</v>
      </c>
      <c r="B79" s="10" t="s">
        <v>125</v>
      </c>
      <c r="C79" s="10" t="s">
        <v>121</v>
      </c>
      <c r="D79" s="10" t="s">
        <v>212</v>
      </c>
      <c r="E79" s="11">
        <v>100</v>
      </c>
      <c r="F79" s="12">
        <v>119.2483350685297</v>
      </c>
      <c r="G79" s="12">
        <v>162.85087721618299</v>
      </c>
      <c r="H79" s="12">
        <v>1</v>
      </c>
      <c r="I79" s="12">
        <v>100</v>
      </c>
    </row>
    <row r="80" spans="1:9" ht="32.1" customHeight="1" x14ac:dyDescent="0.25">
      <c r="A80" s="10" t="s">
        <v>56</v>
      </c>
      <c r="B80" s="10" t="s">
        <v>125</v>
      </c>
      <c r="C80" s="10" t="s">
        <v>121</v>
      </c>
      <c r="D80" s="10" t="s">
        <v>213</v>
      </c>
      <c r="E80" s="11">
        <v>59</v>
      </c>
      <c r="F80" s="12">
        <v>88.220857054492143</v>
      </c>
      <c r="G80" s="12">
        <v>123.3850899486503</v>
      </c>
      <c r="H80" s="12">
        <v>1.6949152542372881</v>
      </c>
      <c r="I80" s="12">
        <v>9.8333333333333339</v>
      </c>
    </row>
  </sheetData>
  <mergeCells count="3">
    <mergeCell ref="A1:I1"/>
    <mergeCell ref="A3:I3"/>
    <mergeCell ref="A2:I2"/>
  </mergeCells>
  <pageMargins left="0.75" right="0.75" top="1" bottom="1" header="0.5" footer="0.5"/>
  <pageSetup paperSize="8" fitToHeight="0" orientation="landscape"/>
  <headerFooter>
    <oddFooter>&amp;CDEMO | &amp;A | &amp;P / &amp;N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87"/>
  <sheetViews>
    <sheetView showGridLines="0"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6" width="26" customWidth="1"/>
    <col min="7" max="7" width="21" customWidth="1"/>
  </cols>
  <sheetData>
    <row r="1" spans="1:8" ht="33.950000000000003" customHeight="1" x14ac:dyDescent="0.25">
      <c r="A1" s="25" t="s">
        <v>214</v>
      </c>
      <c r="B1" s="22"/>
      <c r="C1" s="22"/>
      <c r="D1" s="22"/>
      <c r="E1" s="22"/>
      <c r="F1" s="22"/>
      <c r="G1" s="22"/>
      <c r="H1" s="22"/>
    </row>
    <row r="2" spans="1:8" ht="30" customHeight="1" x14ac:dyDescent="0.25">
      <c r="A2" s="21" t="s">
        <v>1</v>
      </c>
      <c r="B2" s="22"/>
      <c r="C2" s="22"/>
      <c r="D2" s="22"/>
      <c r="E2" s="22"/>
      <c r="F2" s="22"/>
      <c r="G2" s="22"/>
      <c r="H2" s="22"/>
    </row>
    <row r="3" spans="1:8" ht="30" customHeight="1" x14ac:dyDescent="0.25">
      <c r="A3" s="26" t="s">
        <v>215</v>
      </c>
      <c r="B3" s="22"/>
      <c r="C3" s="22"/>
      <c r="D3" s="22"/>
      <c r="E3" s="22"/>
      <c r="F3" s="22"/>
      <c r="G3" s="22"/>
      <c r="H3" s="22"/>
    </row>
    <row r="5" spans="1:8" ht="36" customHeight="1" x14ac:dyDescent="0.25">
      <c r="A5" s="2" t="s">
        <v>22</v>
      </c>
      <c r="B5" s="2" t="s">
        <v>24</v>
      </c>
      <c r="C5" s="2" t="s">
        <v>25</v>
      </c>
      <c r="D5" s="2" t="s">
        <v>27</v>
      </c>
      <c r="E5" s="2" t="s">
        <v>53</v>
      </c>
      <c r="F5" s="2" t="s">
        <v>216</v>
      </c>
      <c r="G5" s="2" t="s">
        <v>29</v>
      </c>
    </row>
    <row r="6" spans="1:8" ht="32.1" customHeight="1" x14ac:dyDescent="0.25">
      <c r="A6" s="10" t="s">
        <v>56</v>
      </c>
      <c r="B6" s="10" t="s">
        <v>58</v>
      </c>
      <c r="C6" s="10" t="s">
        <v>59</v>
      </c>
      <c r="D6" s="10" t="s">
        <v>62</v>
      </c>
      <c r="E6" s="11">
        <v>200</v>
      </c>
      <c r="F6" s="10" t="s">
        <v>217</v>
      </c>
      <c r="G6" s="11">
        <v>1</v>
      </c>
    </row>
    <row r="7" spans="1:8" ht="32.1" customHeight="1" x14ac:dyDescent="0.25">
      <c r="A7" s="10" t="s">
        <v>56</v>
      </c>
      <c r="B7" s="10" t="s">
        <v>58</v>
      </c>
      <c r="C7" s="10" t="s">
        <v>59</v>
      </c>
      <c r="D7" s="10" t="s">
        <v>62</v>
      </c>
      <c r="E7" s="11">
        <v>200</v>
      </c>
      <c r="F7" s="10" t="s">
        <v>218</v>
      </c>
      <c r="G7" s="11">
        <v>425</v>
      </c>
    </row>
    <row r="8" spans="1:8" ht="32.1" customHeight="1" x14ac:dyDescent="0.25">
      <c r="A8" s="10" t="s">
        <v>56</v>
      </c>
      <c r="B8" s="10" t="s">
        <v>58</v>
      </c>
      <c r="C8" s="10" t="s">
        <v>59</v>
      </c>
      <c r="D8" s="10" t="s">
        <v>62</v>
      </c>
      <c r="E8" s="11">
        <v>503</v>
      </c>
      <c r="F8" s="14" t="s">
        <v>219</v>
      </c>
      <c r="G8" s="11">
        <v>5</v>
      </c>
    </row>
    <row r="9" spans="1:8" ht="32.1" customHeight="1" x14ac:dyDescent="0.25">
      <c r="A9" s="10" t="s">
        <v>56</v>
      </c>
      <c r="B9" s="10" t="s">
        <v>58</v>
      </c>
      <c r="C9" s="10" t="s">
        <v>59</v>
      </c>
      <c r="D9" s="10" t="s">
        <v>63</v>
      </c>
      <c r="E9" s="11">
        <v>0</v>
      </c>
      <c r="F9" s="10" t="s">
        <v>220</v>
      </c>
      <c r="G9" s="11">
        <v>3</v>
      </c>
    </row>
    <row r="10" spans="1:8" ht="32.1" customHeight="1" x14ac:dyDescent="0.25">
      <c r="A10" s="10" t="s">
        <v>56</v>
      </c>
      <c r="B10" s="10" t="s">
        <v>58</v>
      </c>
      <c r="C10" s="10" t="s">
        <v>59</v>
      </c>
      <c r="D10" s="10" t="s">
        <v>63</v>
      </c>
      <c r="E10" s="11">
        <v>200</v>
      </c>
      <c r="F10" s="10" t="s">
        <v>217</v>
      </c>
      <c r="G10" s="11">
        <v>2</v>
      </c>
    </row>
    <row r="11" spans="1:8" ht="32.1" customHeight="1" x14ac:dyDescent="0.25">
      <c r="A11" s="10" t="s">
        <v>56</v>
      </c>
      <c r="B11" s="10" t="s">
        <v>58</v>
      </c>
      <c r="C11" s="10" t="s">
        <v>59</v>
      </c>
      <c r="D11" s="10" t="s">
        <v>63</v>
      </c>
      <c r="E11" s="11">
        <v>200</v>
      </c>
      <c r="F11" s="10" t="s">
        <v>218</v>
      </c>
      <c r="G11" s="11">
        <v>2868</v>
      </c>
    </row>
    <row r="12" spans="1:8" ht="32.1" customHeight="1" x14ac:dyDescent="0.25">
      <c r="A12" s="10" t="s">
        <v>56</v>
      </c>
      <c r="B12" s="10" t="s">
        <v>58</v>
      </c>
      <c r="C12" s="10" t="s">
        <v>59</v>
      </c>
      <c r="D12" s="10" t="s">
        <v>63</v>
      </c>
      <c r="E12" s="11">
        <v>503</v>
      </c>
      <c r="F12" s="14" t="s">
        <v>219</v>
      </c>
      <c r="G12" s="11">
        <v>27</v>
      </c>
    </row>
    <row r="13" spans="1:8" ht="32.1" customHeight="1" x14ac:dyDescent="0.25">
      <c r="A13" s="10" t="s">
        <v>56</v>
      </c>
      <c r="B13" s="10" t="s">
        <v>58</v>
      </c>
      <c r="C13" s="10" t="s">
        <v>59</v>
      </c>
      <c r="D13" s="10" t="s">
        <v>64</v>
      </c>
      <c r="E13" s="11">
        <v>0</v>
      </c>
      <c r="F13" s="10" t="s">
        <v>220</v>
      </c>
      <c r="G13" s="11">
        <v>2</v>
      </c>
    </row>
    <row r="14" spans="1:8" ht="32.1" customHeight="1" x14ac:dyDescent="0.25">
      <c r="A14" s="10" t="s">
        <v>56</v>
      </c>
      <c r="B14" s="10" t="s">
        <v>58</v>
      </c>
      <c r="C14" s="10" t="s">
        <v>59</v>
      </c>
      <c r="D14" s="10" t="s">
        <v>64</v>
      </c>
      <c r="E14" s="11">
        <v>201</v>
      </c>
      <c r="F14" s="10" t="s">
        <v>217</v>
      </c>
      <c r="G14" s="11">
        <v>2</v>
      </c>
    </row>
    <row r="15" spans="1:8" ht="32.1" customHeight="1" x14ac:dyDescent="0.25">
      <c r="A15" s="10" t="s">
        <v>56</v>
      </c>
      <c r="B15" s="10" t="s">
        <v>58</v>
      </c>
      <c r="C15" s="10" t="s">
        <v>59</v>
      </c>
      <c r="D15" s="10" t="s">
        <v>64</v>
      </c>
      <c r="E15" s="11">
        <v>201</v>
      </c>
      <c r="F15" s="10" t="s">
        <v>218</v>
      </c>
      <c r="G15" s="11">
        <v>805</v>
      </c>
    </row>
    <row r="16" spans="1:8" ht="32.1" customHeight="1" x14ac:dyDescent="0.25">
      <c r="A16" s="10" t="s">
        <v>56</v>
      </c>
      <c r="B16" s="10" t="s">
        <v>58</v>
      </c>
      <c r="C16" s="10" t="s">
        <v>59</v>
      </c>
      <c r="D16" s="10" t="s">
        <v>64</v>
      </c>
      <c r="E16" s="11">
        <v>503</v>
      </c>
      <c r="F16" s="14" t="s">
        <v>219</v>
      </c>
      <c r="G16" s="11">
        <v>10</v>
      </c>
    </row>
    <row r="17" spans="1:7" ht="32.1" customHeight="1" x14ac:dyDescent="0.25">
      <c r="A17" s="10" t="s">
        <v>56</v>
      </c>
      <c r="B17" s="10" t="s">
        <v>58</v>
      </c>
      <c r="C17" s="10" t="s">
        <v>70</v>
      </c>
      <c r="D17" s="10" t="s">
        <v>62</v>
      </c>
      <c r="E17" s="11">
        <v>200</v>
      </c>
      <c r="F17" s="10" t="s">
        <v>218</v>
      </c>
      <c r="G17" s="11">
        <v>9</v>
      </c>
    </row>
    <row r="18" spans="1:7" ht="32.1" customHeight="1" x14ac:dyDescent="0.25">
      <c r="A18" s="10" t="s">
        <v>56</v>
      </c>
      <c r="B18" s="10" t="s">
        <v>58</v>
      </c>
      <c r="C18" s="10" t="s">
        <v>70</v>
      </c>
      <c r="D18" s="10" t="s">
        <v>62</v>
      </c>
      <c r="E18" s="11">
        <v>503</v>
      </c>
      <c r="F18" s="14" t="s">
        <v>219</v>
      </c>
      <c r="G18" s="11">
        <v>1</v>
      </c>
    </row>
    <row r="19" spans="1:7" ht="32.1" customHeight="1" x14ac:dyDescent="0.25">
      <c r="A19" s="10" t="s">
        <v>56</v>
      </c>
      <c r="B19" s="10" t="s">
        <v>58</v>
      </c>
      <c r="C19" s="10" t="s">
        <v>70</v>
      </c>
      <c r="D19" s="10" t="s">
        <v>63</v>
      </c>
      <c r="E19" s="11">
        <v>200</v>
      </c>
      <c r="F19" s="10" t="s">
        <v>218</v>
      </c>
      <c r="G19" s="11">
        <v>73</v>
      </c>
    </row>
    <row r="20" spans="1:7" ht="32.1" customHeight="1" x14ac:dyDescent="0.25">
      <c r="A20" s="10" t="s">
        <v>56</v>
      </c>
      <c r="B20" s="10" t="s">
        <v>58</v>
      </c>
      <c r="C20" s="10" t="s">
        <v>70</v>
      </c>
      <c r="D20" s="10" t="s">
        <v>64</v>
      </c>
      <c r="E20" s="11">
        <v>201</v>
      </c>
      <c r="F20" s="10" t="s">
        <v>218</v>
      </c>
      <c r="G20" s="11">
        <v>20</v>
      </c>
    </row>
    <row r="21" spans="1:7" ht="32.1" customHeight="1" x14ac:dyDescent="0.25">
      <c r="A21" s="10" t="s">
        <v>56</v>
      </c>
      <c r="B21" s="10" t="s">
        <v>58</v>
      </c>
      <c r="C21" s="10" t="s">
        <v>70</v>
      </c>
      <c r="D21" s="10" t="s">
        <v>64</v>
      </c>
      <c r="E21" s="11">
        <v>503</v>
      </c>
      <c r="F21" s="14" t="s">
        <v>219</v>
      </c>
      <c r="G21" s="11">
        <v>2</v>
      </c>
    </row>
    <row r="22" spans="1:7" ht="32.1" customHeight="1" x14ac:dyDescent="0.25">
      <c r="A22" s="10" t="s">
        <v>56</v>
      </c>
      <c r="B22" s="10" t="s">
        <v>58</v>
      </c>
      <c r="C22" s="10" t="s">
        <v>3</v>
      </c>
      <c r="D22" s="10" t="s">
        <v>62</v>
      </c>
      <c r="E22" s="11">
        <v>0</v>
      </c>
      <c r="F22" s="10" t="s">
        <v>220</v>
      </c>
      <c r="G22" s="11">
        <v>3</v>
      </c>
    </row>
    <row r="23" spans="1:7" ht="32.1" customHeight="1" x14ac:dyDescent="0.25">
      <c r="A23" s="10" t="s">
        <v>56</v>
      </c>
      <c r="B23" s="10" t="s">
        <v>58</v>
      </c>
      <c r="C23" s="10" t="s">
        <v>3</v>
      </c>
      <c r="D23" s="10" t="s">
        <v>62</v>
      </c>
      <c r="E23" s="11">
        <v>200</v>
      </c>
      <c r="F23" s="10" t="s">
        <v>217</v>
      </c>
      <c r="G23" s="11">
        <v>1</v>
      </c>
    </row>
    <row r="24" spans="1:7" ht="32.1" customHeight="1" x14ac:dyDescent="0.25">
      <c r="A24" s="10" t="s">
        <v>56</v>
      </c>
      <c r="B24" s="10" t="s">
        <v>58</v>
      </c>
      <c r="C24" s="10" t="s">
        <v>3</v>
      </c>
      <c r="D24" s="10" t="s">
        <v>62</v>
      </c>
      <c r="E24" s="11">
        <v>200</v>
      </c>
      <c r="F24" s="10" t="s">
        <v>218</v>
      </c>
      <c r="G24" s="11">
        <v>661</v>
      </c>
    </row>
    <row r="25" spans="1:7" ht="32.1" customHeight="1" x14ac:dyDescent="0.25">
      <c r="A25" s="10" t="s">
        <v>56</v>
      </c>
      <c r="B25" s="10" t="s">
        <v>58</v>
      </c>
      <c r="C25" s="10" t="s">
        <v>3</v>
      </c>
      <c r="D25" s="10" t="s">
        <v>62</v>
      </c>
      <c r="E25" s="11">
        <v>503</v>
      </c>
      <c r="F25" s="14" t="s">
        <v>219</v>
      </c>
      <c r="G25" s="11">
        <v>7</v>
      </c>
    </row>
    <row r="26" spans="1:7" ht="32.1" customHeight="1" x14ac:dyDescent="0.25">
      <c r="A26" s="10" t="s">
        <v>56</v>
      </c>
      <c r="B26" s="10" t="s">
        <v>58</v>
      </c>
      <c r="C26" s="10" t="s">
        <v>3</v>
      </c>
      <c r="D26" s="10" t="s">
        <v>63</v>
      </c>
      <c r="E26" s="11">
        <v>0</v>
      </c>
      <c r="F26" s="10" t="s">
        <v>220</v>
      </c>
      <c r="G26" s="11">
        <v>13</v>
      </c>
    </row>
    <row r="27" spans="1:7" ht="32.1" customHeight="1" x14ac:dyDescent="0.25">
      <c r="A27" s="10" t="s">
        <v>56</v>
      </c>
      <c r="B27" s="10" t="s">
        <v>58</v>
      </c>
      <c r="C27" s="10" t="s">
        <v>3</v>
      </c>
      <c r="D27" s="10" t="s">
        <v>63</v>
      </c>
      <c r="E27" s="11">
        <v>200</v>
      </c>
      <c r="F27" s="10" t="s">
        <v>217</v>
      </c>
      <c r="G27" s="11">
        <v>12</v>
      </c>
    </row>
    <row r="28" spans="1:7" ht="32.1" customHeight="1" x14ac:dyDescent="0.25">
      <c r="A28" s="10" t="s">
        <v>56</v>
      </c>
      <c r="B28" s="10" t="s">
        <v>58</v>
      </c>
      <c r="C28" s="10" t="s">
        <v>3</v>
      </c>
      <c r="D28" s="10" t="s">
        <v>63</v>
      </c>
      <c r="E28" s="11">
        <v>200</v>
      </c>
      <c r="F28" s="10" t="s">
        <v>218</v>
      </c>
      <c r="G28" s="11">
        <v>4687</v>
      </c>
    </row>
    <row r="29" spans="1:7" ht="32.1" customHeight="1" x14ac:dyDescent="0.25">
      <c r="A29" s="10" t="s">
        <v>56</v>
      </c>
      <c r="B29" s="10" t="s">
        <v>58</v>
      </c>
      <c r="C29" s="10" t="s">
        <v>3</v>
      </c>
      <c r="D29" s="10" t="s">
        <v>63</v>
      </c>
      <c r="E29" s="11">
        <v>503</v>
      </c>
      <c r="F29" s="14" t="s">
        <v>219</v>
      </c>
      <c r="G29" s="11">
        <v>48</v>
      </c>
    </row>
    <row r="30" spans="1:7" ht="32.1" customHeight="1" x14ac:dyDescent="0.25">
      <c r="A30" s="10" t="s">
        <v>56</v>
      </c>
      <c r="B30" s="10" t="s">
        <v>58</v>
      </c>
      <c r="C30" s="10" t="s">
        <v>3</v>
      </c>
      <c r="D30" s="10" t="s">
        <v>64</v>
      </c>
      <c r="E30" s="11">
        <v>0</v>
      </c>
      <c r="F30" s="10" t="s">
        <v>220</v>
      </c>
      <c r="G30" s="11">
        <v>1</v>
      </c>
    </row>
    <row r="31" spans="1:7" ht="32.1" customHeight="1" x14ac:dyDescent="0.25">
      <c r="A31" s="10" t="s">
        <v>56</v>
      </c>
      <c r="B31" s="10" t="s">
        <v>58</v>
      </c>
      <c r="C31" s="10" t="s">
        <v>3</v>
      </c>
      <c r="D31" s="10" t="s">
        <v>64</v>
      </c>
      <c r="E31" s="11">
        <v>201</v>
      </c>
      <c r="F31" s="10" t="s">
        <v>217</v>
      </c>
      <c r="G31" s="11">
        <v>2</v>
      </c>
    </row>
    <row r="32" spans="1:7" ht="32.1" customHeight="1" x14ac:dyDescent="0.25">
      <c r="A32" s="10" t="s">
        <v>56</v>
      </c>
      <c r="B32" s="10" t="s">
        <v>58</v>
      </c>
      <c r="C32" s="10" t="s">
        <v>3</v>
      </c>
      <c r="D32" s="10" t="s">
        <v>64</v>
      </c>
      <c r="E32" s="11">
        <v>201</v>
      </c>
      <c r="F32" s="10" t="s">
        <v>218</v>
      </c>
      <c r="G32" s="11">
        <v>1298</v>
      </c>
    </row>
    <row r="33" spans="1:7" ht="32.1" customHeight="1" x14ac:dyDescent="0.25">
      <c r="A33" s="10" t="s">
        <v>56</v>
      </c>
      <c r="B33" s="10" t="s">
        <v>58</v>
      </c>
      <c r="C33" s="10" t="s">
        <v>3</v>
      </c>
      <c r="D33" s="10" t="s">
        <v>64</v>
      </c>
      <c r="E33" s="11">
        <v>503</v>
      </c>
      <c r="F33" s="14" t="s">
        <v>219</v>
      </c>
      <c r="G33" s="11">
        <v>17</v>
      </c>
    </row>
    <row r="34" spans="1:7" ht="32.1" customHeight="1" x14ac:dyDescent="0.25">
      <c r="A34" s="10" t="s">
        <v>56</v>
      </c>
      <c r="B34" s="10" t="s">
        <v>94</v>
      </c>
      <c r="C34" s="10" t="s">
        <v>59</v>
      </c>
      <c r="D34" s="10" t="s">
        <v>62</v>
      </c>
      <c r="E34" s="11">
        <v>0</v>
      </c>
      <c r="F34" s="10" t="s">
        <v>220</v>
      </c>
      <c r="G34" s="11">
        <v>1</v>
      </c>
    </row>
    <row r="35" spans="1:7" ht="32.1" customHeight="1" x14ac:dyDescent="0.25">
      <c r="A35" s="10" t="s">
        <v>56</v>
      </c>
      <c r="B35" s="10" t="s">
        <v>94</v>
      </c>
      <c r="C35" s="10" t="s">
        <v>59</v>
      </c>
      <c r="D35" s="10" t="s">
        <v>62</v>
      </c>
      <c r="E35" s="11">
        <v>200</v>
      </c>
      <c r="F35" s="10" t="s">
        <v>217</v>
      </c>
      <c r="G35" s="11">
        <v>2</v>
      </c>
    </row>
    <row r="36" spans="1:7" ht="32.1" customHeight="1" x14ac:dyDescent="0.25">
      <c r="A36" s="10" t="s">
        <v>56</v>
      </c>
      <c r="B36" s="10" t="s">
        <v>94</v>
      </c>
      <c r="C36" s="10" t="s">
        <v>59</v>
      </c>
      <c r="D36" s="10" t="s">
        <v>62</v>
      </c>
      <c r="E36" s="11">
        <v>200</v>
      </c>
      <c r="F36" s="10" t="s">
        <v>218</v>
      </c>
      <c r="G36" s="11">
        <v>400</v>
      </c>
    </row>
    <row r="37" spans="1:7" ht="32.1" customHeight="1" x14ac:dyDescent="0.25">
      <c r="A37" s="10" t="s">
        <v>56</v>
      </c>
      <c r="B37" s="10" t="s">
        <v>94</v>
      </c>
      <c r="C37" s="10" t="s">
        <v>59</v>
      </c>
      <c r="D37" s="10" t="s">
        <v>62</v>
      </c>
      <c r="E37" s="11">
        <v>503</v>
      </c>
      <c r="F37" s="14" t="s">
        <v>219</v>
      </c>
      <c r="G37" s="11">
        <v>3</v>
      </c>
    </row>
    <row r="38" spans="1:7" ht="32.1" customHeight="1" x14ac:dyDescent="0.25">
      <c r="A38" s="10" t="s">
        <v>56</v>
      </c>
      <c r="B38" s="10" t="s">
        <v>94</v>
      </c>
      <c r="C38" s="10" t="s">
        <v>59</v>
      </c>
      <c r="D38" s="10" t="s">
        <v>63</v>
      </c>
      <c r="E38" s="11">
        <v>0</v>
      </c>
      <c r="F38" s="10" t="s">
        <v>220</v>
      </c>
      <c r="G38" s="11">
        <v>9</v>
      </c>
    </row>
    <row r="39" spans="1:7" ht="32.1" customHeight="1" x14ac:dyDescent="0.25">
      <c r="A39" s="10" t="s">
        <v>56</v>
      </c>
      <c r="B39" s="10" t="s">
        <v>94</v>
      </c>
      <c r="C39" s="10" t="s">
        <v>59</v>
      </c>
      <c r="D39" s="10" t="s">
        <v>63</v>
      </c>
      <c r="E39" s="11">
        <v>200</v>
      </c>
      <c r="F39" s="10" t="s">
        <v>217</v>
      </c>
      <c r="G39" s="11">
        <v>8</v>
      </c>
    </row>
    <row r="40" spans="1:7" ht="32.1" customHeight="1" x14ac:dyDescent="0.25">
      <c r="A40" s="10" t="s">
        <v>56</v>
      </c>
      <c r="B40" s="10" t="s">
        <v>94</v>
      </c>
      <c r="C40" s="10" t="s">
        <v>59</v>
      </c>
      <c r="D40" s="10" t="s">
        <v>63</v>
      </c>
      <c r="E40" s="11">
        <v>200</v>
      </c>
      <c r="F40" s="10" t="s">
        <v>218</v>
      </c>
      <c r="G40" s="11">
        <v>2864</v>
      </c>
    </row>
    <row r="41" spans="1:7" ht="32.1" customHeight="1" x14ac:dyDescent="0.25">
      <c r="A41" s="10" t="s">
        <v>56</v>
      </c>
      <c r="B41" s="10" t="s">
        <v>94</v>
      </c>
      <c r="C41" s="10" t="s">
        <v>59</v>
      </c>
      <c r="D41" s="10" t="s">
        <v>63</v>
      </c>
      <c r="E41" s="11">
        <v>503</v>
      </c>
      <c r="F41" s="14" t="s">
        <v>219</v>
      </c>
      <c r="G41" s="11">
        <v>28</v>
      </c>
    </row>
    <row r="42" spans="1:7" ht="32.1" customHeight="1" x14ac:dyDescent="0.25">
      <c r="A42" s="10" t="s">
        <v>56</v>
      </c>
      <c r="B42" s="10" t="s">
        <v>94</v>
      </c>
      <c r="C42" s="10" t="s">
        <v>59</v>
      </c>
      <c r="D42" s="10" t="s">
        <v>64</v>
      </c>
      <c r="E42" s="11">
        <v>201</v>
      </c>
      <c r="F42" s="10" t="s">
        <v>217</v>
      </c>
      <c r="G42" s="11">
        <v>1</v>
      </c>
    </row>
    <row r="43" spans="1:7" ht="32.1" customHeight="1" x14ac:dyDescent="0.25">
      <c r="A43" s="10" t="s">
        <v>56</v>
      </c>
      <c r="B43" s="10" t="s">
        <v>94</v>
      </c>
      <c r="C43" s="10" t="s">
        <v>59</v>
      </c>
      <c r="D43" s="10" t="s">
        <v>64</v>
      </c>
      <c r="E43" s="11">
        <v>201</v>
      </c>
      <c r="F43" s="10" t="s">
        <v>218</v>
      </c>
      <c r="G43" s="11">
        <v>826</v>
      </c>
    </row>
    <row r="44" spans="1:7" ht="32.1" customHeight="1" x14ac:dyDescent="0.25">
      <c r="A44" s="10" t="s">
        <v>56</v>
      </c>
      <c r="B44" s="10" t="s">
        <v>94</v>
      </c>
      <c r="C44" s="10" t="s">
        <v>59</v>
      </c>
      <c r="D44" s="10" t="s">
        <v>64</v>
      </c>
      <c r="E44" s="11">
        <v>503</v>
      </c>
      <c r="F44" s="14" t="s">
        <v>219</v>
      </c>
      <c r="G44" s="11">
        <v>8</v>
      </c>
    </row>
    <row r="45" spans="1:7" ht="32.1" customHeight="1" x14ac:dyDescent="0.25">
      <c r="A45" s="10" t="s">
        <v>56</v>
      </c>
      <c r="B45" s="10" t="s">
        <v>94</v>
      </c>
      <c r="C45" s="10" t="s">
        <v>70</v>
      </c>
      <c r="D45" s="10" t="s">
        <v>62</v>
      </c>
      <c r="E45" s="11">
        <v>0</v>
      </c>
      <c r="F45" s="10" t="s">
        <v>220</v>
      </c>
      <c r="G45" s="11">
        <v>1</v>
      </c>
    </row>
    <row r="46" spans="1:7" ht="32.1" customHeight="1" x14ac:dyDescent="0.25">
      <c r="A46" s="10" t="s">
        <v>56</v>
      </c>
      <c r="B46" s="10" t="s">
        <v>94</v>
      </c>
      <c r="C46" s="10" t="s">
        <v>70</v>
      </c>
      <c r="D46" s="10" t="s">
        <v>62</v>
      </c>
      <c r="E46" s="11">
        <v>200</v>
      </c>
      <c r="F46" s="10" t="s">
        <v>218</v>
      </c>
      <c r="G46" s="11">
        <v>15</v>
      </c>
    </row>
    <row r="47" spans="1:7" ht="32.1" customHeight="1" x14ac:dyDescent="0.25">
      <c r="A47" s="10" t="s">
        <v>56</v>
      </c>
      <c r="B47" s="10" t="s">
        <v>94</v>
      </c>
      <c r="C47" s="10" t="s">
        <v>70</v>
      </c>
      <c r="D47" s="10" t="s">
        <v>63</v>
      </c>
      <c r="E47" s="11">
        <v>200</v>
      </c>
      <c r="F47" s="10" t="s">
        <v>218</v>
      </c>
      <c r="G47" s="11">
        <v>68</v>
      </c>
    </row>
    <row r="48" spans="1:7" ht="32.1" customHeight="1" x14ac:dyDescent="0.25">
      <c r="A48" s="10" t="s">
        <v>56</v>
      </c>
      <c r="B48" s="10" t="s">
        <v>94</v>
      </c>
      <c r="C48" s="10" t="s">
        <v>70</v>
      </c>
      <c r="D48" s="10" t="s">
        <v>63</v>
      </c>
      <c r="E48" s="11">
        <v>503</v>
      </c>
      <c r="F48" s="14" t="s">
        <v>219</v>
      </c>
      <c r="G48" s="11">
        <v>1</v>
      </c>
    </row>
    <row r="49" spans="1:7" ht="32.1" customHeight="1" x14ac:dyDescent="0.25">
      <c r="A49" s="10" t="s">
        <v>56</v>
      </c>
      <c r="B49" s="10" t="s">
        <v>94</v>
      </c>
      <c r="C49" s="10" t="s">
        <v>70</v>
      </c>
      <c r="D49" s="10" t="s">
        <v>64</v>
      </c>
      <c r="E49" s="11">
        <v>201</v>
      </c>
      <c r="F49" s="10" t="s">
        <v>217</v>
      </c>
      <c r="G49" s="11">
        <v>1</v>
      </c>
    </row>
    <row r="50" spans="1:7" ht="32.1" customHeight="1" x14ac:dyDescent="0.25">
      <c r="A50" s="10" t="s">
        <v>56</v>
      </c>
      <c r="B50" s="10" t="s">
        <v>94</v>
      </c>
      <c r="C50" s="10" t="s">
        <v>70</v>
      </c>
      <c r="D50" s="10" t="s">
        <v>64</v>
      </c>
      <c r="E50" s="11">
        <v>201</v>
      </c>
      <c r="F50" s="10" t="s">
        <v>218</v>
      </c>
      <c r="G50" s="11">
        <v>19</v>
      </c>
    </row>
    <row r="51" spans="1:7" ht="32.1" customHeight="1" x14ac:dyDescent="0.25">
      <c r="A51" s="10" t="s">
        <v>56</v>
      </c>
      <c r="B51" s="10" t="s">
        <v>94</v>
      </c>
      <c r="C51" s="10" t="s">
        <v>3</v>
      </c>
      <c r="D51" s="10" t="s">
        <v>62</v>
      </c>
      <c r="E51" s="11">
        <v>0</v>
      </c>
      <c r="F51" s="10" t="s">
        <v>220</v>
      </c>
      <c r="G51" s="11">
        <v>1</v>
      </c>
    </row>
    <row r="52" spans="1:7" ht="32.1" customHeight="1" x14ac:dyDescent="0.25">
      <c r="A52" s="10" t="s">
        <v>56</v>
      </c>
      <c r="B52" s="10" t="s">
        <v>94</v>
      </c>
      <c r="C52" s="10" t="s">
        <v>3</v>
      </c>
      <c r="D52" s="10" t="s">
        <v>62</v>
      </c>
      <c r="E52" s="11">
        <v>200</v>
      </c>
      <c r="F52" s="10" t="s">
        <v>217</v>
      </c>
      <c r="G52" s="11">
        <v>1</v>
      </c>
    </row>
    <row r="53" spans="1:7" ht="32.1" customHeight="1" x14ac:dyDescent="0.25">
      <c r="A53" s="10" t="s">
        <v>56</v>
      </c>
      <c r="B53" s="10" t="s">
        <v>94</v>
      </c>
      <c r="C53" s="10" t="s">
        <v>3</v>
      </c>
      <c r="D53" s="10" t="s">
        <v>62</v>
      </c>
      <c r="E53" s="11">
        <v>200</v>
      </c>
      <c r="F53" s="10" t="s">
        <v>218</v>
      </c>
      <c r="G53" s="11">
        <v>650</v>
      </c>
    </row>
    <row r="54" spans="1:7" ht="32.1" customHeight="1" x14ac:dyDescent="0.25">
      <c r="A54" s="10" t="s">
        <v>56</v>
      </c>
      <c r="B54" s="10" t="s">
        <v>94</v>
      </c>
      <c r="C54" s="10" t="s">
        <v>3</v>
      </c>
      <c r="D54" s="10" t="s">
        <v>62</v>
      </c>
      <c r="E54" s="11">
        <v>503</v>
      </c>
      <c r="F54" s="14" t="s">
        <v>219</v>
      </c>
      <c r="G54" s="11">
        <v>5</v>
      </c>
    </row>
    <row r="55" spans="1:7" ht="32.1" customHeight="1" x14ac:dyDescent="0.25">
      <c r="A55" s="10" t="s">
        <v>56</v>
      </c>
      <c r="B55" s="10" t="s">
        <v>94</v>
      </c>
      <c r="C55" s="10" t="s">
        <v>3</v>
      </c>
      <c r="D55" s="10" t="s">
        <v>63</v>
      </c>
      <c r="E55" s="11">
        <v>0</v>
      </c>
      <c r="F55" s="10" t="s">
        <v>220</v>
      </c>
      <c r="G55" s="11">
        <v>5</v>
      </c>
    </row>
    <row r="56" spans="1:7" ht="32.1" customHeight="1" x14ac:dyDescent="0.25">
      <c r="A56" s="10" t="s">
        <v>56</v>
      </c>
      <c r="B56" s="10" t="s">
        <v>94</v>
      </c>
      <c r="C56" s="10" t="s">
        <v>3</v>
      </c>
      <c r="D56" s="10" t="s">
        <v>63</v>
      </c>
      <c r="E56" s="11">
        <v>200</v>
      </c>
      <c r="F56" s="10" t="s">
        <v>217</v>
      </c>
      <c r="G56" s="11">
        <v>9</v>
      </c>
    </row>
    <row r="57" spans="1:7" ht="32.1" customHeight="1" x14ac:dyDescent="0.25">
      <c r="A57" s="10" t="s">
        <v>56</v>
      </c>
      <c r="B57" s="10" t="s">
        <v>94</v>
      </c>
      <c r="C57" s="10" t="s">
        <v>3</v>
      </c>
      <c r="D57" s="10" t="s">
        <v>63</v>
      </c>
      <c r="E57" s="11">
        <v>200</v>
      </c>
      <c r="F57" s="10" t="s">
        <v>218</v>
      </c>
      <c r="G57" s="11">
        <v>4667</v>
      </c>
    </row>
    <row r="58" spans="1:7" ht="32.1" customHeight="1" x14ac:dyDescent="0.25">
      <c r="A58" s="10" t="s">
        <v>56</v>
      </c>
      <c r="B58" s="10" t="s">
        <v>94</v>
      </c>
      <c r="C58" s="10" t="s">
        <v>3</v>
      </c>
      <c r="D58" s="10" t="s">
        <v>63</v>
      </c>
      <c r="E58" s="11">
        <v>503</v>
      </c>
      <c r="F58" s="14" t="s">
        <v>219</v>
      </c>
      <c r="G58" s="11">
        <v>32</v>
      </c>
    </row>
    <row r="59" spans="1:7" ht="32.1" customHeight="1" x14ac:dyDescent="0.25">
      <c r="A59" s="10" t="s">
        <v>56</v>
      </c>
      <c r="B59" s="10" t="s">
        <v>94</v>
      </c>
      <c r="C59" s="10" t="s">
        <v>3</v>
      </c>
      <c r="D59" s="10" t="s">
        <v>64</v>
      </c>
      <c r="E59" s="11">
        <v>0</v>
      </c>
      <c r="F59" s="10" t="s">
        <v>220</v>
      </c>
      <c r="G59" s="11">
        <v>3</v>
      </c>
    </row>
    <row r="60" spans="1:7" ht="32.1" customHeight="1" x14ac:dyDescent="0.25">
      <c r="A60" s="10" t="s">
        <v>56</v>
      </c>
      <c r="B60" s="10" t="s">
        <v>94</v>
      </c>
      <c r="C60" s="10" t="s">
        <v>3</v>
      </c>
      <c r="D60" s="10" t="s">
        <v>64</v>
      </c>
      <c r="E60" s="11">
        <v>201</v>
      </c>
      <c r="F60" s="10" t="s">
        <v>217</v>
      </c>
      <c r="G60" s="11">
        <v>1</v>
      </c>
    </row>
    <row r="61" spans="1:7" ht="32.1" customHeight="1" x14ac:dyDescent="0.25">
      <c r="A61" s="10" t="s">
        <v>56</v>
      </c>
      <c r="B61" s="10" t="s">
        <v>94</v>
      </c>
      <c r="C61" s="10" t="s">
        <v>3</v>
      </c>
      <c r="D61" s="10" t="s">
        <v>64</v>
      </c>
      <c r="E61" s="11">
        <v>201</v>
      </c>
      <c r="F61" s="10" t="s">
        <v>218</v>
      </c>
      <c r="G61" s="11">
        <v>1362</v>
      </c>
    </row>
    <row r="62" spans="1:7" ht="32.1" customHeight="1" x14ac:dyDescent="0.25">
      <c r="A62" s="10" t="s">
        <v>56</v>
      </c>
      <c r="B62" s="10" t="s">
        <v>94</v>
      </c>
      <c r="C62" s="10" t="s">
        <v>3</v>
      </c>
      <c r="D62" s="10" t="s">
        <v>64</v>
      </c>
      <c r="E62" s="11">
        <v>503</v>
      </c>
      <c r="F62" s="14" t="s">
        <v>219</v>
      </c>
      <c r="G62" s="11">
        <v>14</v>
      </c>
    </row>
    <row r="63" spans="1:7" ht="32.1" customHeight="1" x14ac:dyDescent="0.25">
      <c r="A63" s="10" t="s">
        <v>56</v>
      </c>
      <c r="B63" s="10" t="s">
        <v>121</v>
      </c>
      <c r="C63" s="10" t="s">
        <v>59</v>
      </c>
      <c r="D63" s="10" t="s">
        <v>62</v>
      </c>
      <c r="E63" s="11">
        <v>200</v>
      </c>
      <c r="F63" s="10" t="s">
        <v>217</v>
      </c>
      <c r="G63" s="11">
        <v>1</v>
      </c>
    </row>
    <row r="64" spans="1:7" ht="32.1" customHeight="1" x14ac:dyDescent="0.25">
      <c r="A64" s="10" t="s">
        <v>56</v>
      </c>
      <c r="B64" s="10" t="s">
        <v>121</v>
      </c>
      <c r="C64" s="10" t="s">
        <v>59</v>
      </c>
      <c r="D64" s="10" t="s">
        <v>62</v>
      </c>
      <c r="E64" s="11">
        <v>200</v>
      </c>
      <c r="F64" s="10" t="s">
        <v>218</v>
      </c>
      <c r="G64" s="11">
        <v>426</v>
      </c>
    </row>
    <row r="65" spans="1:7" ht="32.1" customHeight="1" x14ac:dyDescent="0.25">
      <c r="A65" s="10" t="s">
        <v>56</v>
      </c>
      <c r="B65" s="10" t="s">
        <v>121</v>
      </c>
      <c r="C65" s="10" t="s">
        <v>59</v>
      </c>
      <c r="D65" s="10" t="s">
        <v>62</v>
      </c>
      <c r="E65" s="11">
        <v>503</v>
      </c>
      <c r="F65" s="14" t="s">
        <v>219</v>
      </c>
      <c r="G65" s="11">
        <v>6</v>
      </c>
    </row>
    <row r="66" spans="1:7" ht="32.1" customHeight="1" x14ac:dyDescent="0.25">
      <c r="A66" s="10" t="s">
        <v>56</v>
      </c>
      <c r="B66" s="10" t="s">
        <v>121</v>
      </c>
      <c r="C66" s="10" t="s">
        <v>59</v>
      </c>
      <c r="D66" s="10" t="s">
        <v>63</v>
      </c>
      <c r="E66" s="11">
        <v>0</v>
      </c>
      <c r="F66" s="10" t="s">
        <v>220</v>
      </c>
      <c r="G66" s="11">
        <v>4</v>
      </c>
    </row>
    <row r="67" spans="1:7" ht="32.1" customHeight="1" x14ac:dyDescent="0.25">
      <c r="A67" s="10" t="s">
        <v>56</v>
      </c>
      <c r="B67" s="10" t="s">
        <v>121</v>
      </c>
      <c r="C67" s="10" t="s">
        <v>59</v>
      </c>
      <c r="D67" s="10" t="s">
        <v>63</v>
      </c>
      <c r="E67" s="11">
        <v>200</v>
      </c>
      <c r="F67" s="10" t="s">
        <v>217</v>
      </c>
      <c r="G67" s="11">
        <v>2</v>
      </c>
    </row>
    <row r="68" spans="1:7" ht="32.1" customHeight="1" x14ac:dyDescent="0.25">
      <c r="A68" s="10" t="s">
        <v>56</v>
      </c>
      <c r="B68" s="10" t="s">
        <v>121</v>
      </c>
      <c r="C68" s="10" t="s">
        <v>59</v>
      </c>
      <c r="D68" s="10" t="s">
        <v>63</v>
      </c>
      <c r="E68" s="11">
        <v>200</v>
      </c>
      <c r="F68" s="10" t="s">
        <v>218</v>
      </c>
      <c r="G68" s="11">
        <v>2900</v>
      </c>
    </row>
    <row r="69" spans="1:7" ht="32.1" customHeight="1" x14ac:dyDescent="0.25">
      <c r="A69" s="10" t="s">
        <v>56</v>
      </c>
      <c r="B69" s="10" t="s">
        <v>121</v>
      </c>
      <c r="C69" s="10" t="s">
        <v>59</v>
      </c>
      <c r="D69" s="10" t="s">
        <v>63</v>
      </c>
      <c r="E69" s="11">
        <v>503</v>
      </c>
      <c r="F69" s="14" t="s">
        <v>219</v>
      </c>
      <c r="G69" s="11">
        <v>28</v>
      </c>
    </row>
    <row r="70" spans="1:7" ht="32.1" customHeight="1" x14ac:dyDescent="0.25">
      <c r="A70" s="10" t="s">
        <v>56</v>
      </c>
      <c r="B70" s="10" t="s">
        <v>121</v>
      </c>
      <c r="C70" s="10" t="s">
        <v>59</v>
      </c>
      <c r="D70" s="10" t="s">
        <v>64</v>
      </c>
      <c r="E70" s="11">
        <v>201</v>
      </c>
      <c r="F70" s="10" t="s">
        <v>217</v>
      </c>
      <c r="G70" s="11">
        <v>3</v>
      </c>
    </row>
    <row r="71" spans="1:7" ht="32.1" customHeight="1" x14ac:dyDescent="0.25">
      <c r="A71" s="10" t="s">
        <v>56</v>
      </c>
      <c r="B71" s="10" t="s">
        <v>121</v>
      </c>
      <c r="C71" s="10" t="s">
        <v>59</v>
      </c>
      <c r="D71" s="10" t="s">
        <v>64</v>
      </c>
      <c r="E71" s="11">
        <v>201</v>
      </c>
      <c r="F71" s="10" t="s">
        <v>218</v>
      </c>
      <c r="G71" s="11">
        <v>768</v>
      </c>
    </row>
    <row r="72" spans="1:7" ht="32.1" customHeight="1" x14ac:dyDescent="0.25">
      <c r="A72" s="10" t="s">
        <v>56</v>
      </c>
      <c r="B72" s="10" t="s">
        <v>121</v>
      </c>
      <c r="C72" s="10" t="s">
        <v>59</v>
      </c>
      <c r="D72" s="10" t="s">
        <v>64</v>
      </c>
      <c r="E72" s="11">
        <v>503</v>
      </c>
      <c r="F72" s="14" t="s">
        <v>219</v>
      </c>
      <c r="G72" s="11">
        <v>12</v>
      </c>
    </row>
    <row r="73" spans="1:7" ht="32.1" customHeight="1" x14ac:dyDescent="0.25">
      <c r="A73" s="10" t="s">
        <v>56</v>
      </c>
      <c r="B73" s="10" t="s">
        <v>121</v>
      </c>
      <c r="C73" s="10" t="s">
        <v>70</v>
      </c>
      <c r="D73" s="10" t="s">
        <v>62</v>
      </c>
      <c r="E73" s="11">
        <v>200</v>
      </c>
      <c r="F73" s="10" t="s">
        <v>218</v>
      </c>
      <c r="G73" s="11">
        <v>8</v>
      </c>
    </row>
    <row r="74" spans="1:7" ht="32.1" customHeight="1" x14ac:dyDescent="0.25">
      <c r="A74" s="10" t="s">
        <v>56</v>
      </c>
      <c r="B74" s="10" t="s">
        <v>121</v>
      </c>
      <c r="C74" s="10" t="s">
        <v>70</v>
      </c>
      <c r="D74" s="10" t="s">
        <v>63</v>
      </c>
      <c r="E74" s="11">
        <v>200</v>
      </c>
      <c r="F74" s="10" t="s">
        <v>218</v>
      </c>
      <c r="G74" s="11">
        <v>69</v>
      </c>
    </row>
    <row r="75" spans="1:7" ht="32.1" customHeight="1" x14ac:dyDescent="0.25">
      <c r="A75" s="10" t="s">
        <v>56</v>
      </c>
      <c r="B75" s="10" t="s">
        <v>121</v>
      </c>
      <c r="C75" s="10" t="s">
        <v>70</v>
      </c>
      <c r="D75" s="10" t="s">
        <v>64</v>
      </c>
      <c r="E75" s="11">
        <v>201</v>
      </c>
      <c r="F75" s="10" t="s">
        <v>218</v>
      </c>
      <c r="G75" s="11">
        <v>28</v>
      </c>
    </row>
    <row r="76" spans="1:7" ht="32.1" customHeight="1" x14ac:dyDescent="0.25">
      <c r="A76" s="10" t="s">
        <v>56</v>
      </c>
      <c r="B76" s="10" t="s">
        <v>121</v>
      </c>
      <c r="C76" s="10" t="s">
        <v>3</v>
      </c>
      <c r="D76" s="10" t="s">
        <v>62</v>
      </c>
      <c r="E76" s="11">
        <v>0</v>
      </c>
      <c r="F76" s="10" t="s">
        <v>220</v>
      </c>
      <c r="G76" s="11">
        <v>1</v>
      </c>
    </row>
    <row r="77" spans="1:7" ht="32.1" customHeight="1" x14ac:dyDescent="0.25">
      <c r="A77" s="10" t="s">
        <v>56</v>
      </c>
      <c r="B77" s="10" t="s">
        <v>121</v>
      </c>
      <c r="C77" s="10" t="s">
        <v>3</v>
      </c>
      <c r="D77" s="10" t="s">
        <v>62</v>
      </c>
      <c r="E77" s="11">
        <v>200</v>
      </c>
      <c r="F77" s="10" t="s">
        <v>217</v>
      </c>
      <c r="G77" s="11">
        <v>1</v>
      </c>
    </row>
    <row r="78" spans="1:7" ht="32.1" customHeight="1" x14ac:dyDescent="0.25">
      <c r="A78" s="10" t="s">
        <v>56</v>
      </c>
      <c r="B78" s="10" t="s">
        <v>121</v>
      </c>
      <c r="C78" s="10" t="s">
        <v>3</v>
      </c>
      <c r="D78" s="10" t="s">
        <v>62</v>
      </c>
      <c r="E78" s="11">
        <v>200</v>
      </c>
      <c r="F78" s="10" t="s">
        <v>218</v>
      </c>
      <c r="G78" s="11">
        <v>695</v>
      </c>
    </row>
    <row r="79" spans="1:7" ht="32.1" customHeight="1" x14ac:dyDescent="0.25">
      <c r="A79" s="10" t="s">
        <v>56</v>
      </c>
      <c r="B79" s="10" t="s">
        <v>121</v>
      </c>
      <c r="C79" s="10" t="s">
        <v>3</v>
      </c>
      <c r="D79" s="10" t="s">
        <v>62</v>
      </c>
      <c r="E79" s="11">
        <v>503</v>
      </c>
      <c r="F79" s="14" t="s">
        <v>219</v>
      </c>
      <c r="G79" s="11">
        <v>6</v>
      </c>
    </row>
    <row r="80" spans="1:7" ht="32.1" customHeight="1" x14ac:dyDescent="0.25">
      <c r="A80" s="10" t="s">
        <v>56</v>
      </c>
      <c r="B80" s="10" t="s">
        <v>121</v>
      </c>
      <c r="C80" s="10" t="s">
        <v>3</v>
      </c>
      <c r="D80" s="10" t="s">
        <v>63</v>
      </c>
      <c r="E80" s="11">
        <v>0</v>
      </c>
      <c r="F80" s="10" t="s">
        <v>220</v>
      </c>
      <c r="G80" s="11">
        <v>4</v>
      </c>
    </row>
    <row r="81" spans="1:7" ht="32.1" customHeight="1" x14ac:dyDescent="0.25">
      <c r="A81" s="10" t="s">
        <v>56</v>
      </c>
      <c r="B81" s="10" t="s">
        <v>121</v>
      </c>
      <c r="C81" s="10" t="s">
        <v>3</v>
      </c>
      <c r="D81" s="10" t="s">
        <v>63</v>
      </c>
      <c r="E81" s="11">
        <v>200</v>
      </c>
      <c r="F81" s="10" t="s">
        <v>217</v>
      </c>
      <c r="G81" s="11">
        <v>6</v>
      </c>
    </row>
    <row r="82" spans="1:7" ht="32.1" customHeight="1" x14ac:dyDescent="0.25">
      <c r="A82" s="10" t="s">
        <v>56</v>
      </c>
      <c r="B82" s="10" t="s">
        <v>121</v>
      </c>
      <c r="C82" s="10" t="s">
        <v>3</v>
      </c>
      <c r="D82" s="10" t="s">
        <v>63</v>
      </c>
      <c r="E82" s="11">
        <v>200</v>
      </c>
      <c r="F82" s="10" t="s">
        <v>218</v>
      </c>
      <c r="G82" s="11">
        <v>4589</v>
      </c>
    </row>
    <row r="83" spans="1:7" ht="32.1" customHeight="1" x14ac:dyDescent="0.25">
      <c r="A83" s="10" t="s">
        <v>56</v>
      </c>
      <c r="B83" s="10" t="s">
        <v>121</v>
      </c>
      <c r="C83" s="10" t="s">
        <v>3</v>
      </c>
      <c r="D83" s="10" t="s">
        <v>63</v>
      </c>
      <c r="E83" s="11">
        <v>503</v>
      </c>
      <c r="F83" s="14" t="s">
        <v>219</v>
      </c>
      <c r="G83" s="11">
        <v>60</v>
      </c>
    </row>
    <row r="84" spans="1:7" ht="32.1" customHeight="1" x14ac:dyDescent="0.25">
      <c r="A84" s="10" t="s">
        <v>56</v>
      </c>
      <c r="B84" s="10" t="s">
        <v>121</v>
      </c>
      <c r="C84" s="10" t="s">
        <v>3</v>
      </c>
      <c r="D84" s="10" t="s">
        <v>64</v>
      </c>
      <c r="E84" s="11">
        <v>0</v>
      </c>
      <c r="F84" s="10" t="s">
        <v>220</v>
      </c>
      <c r="G84" s="11">
        <v>1</v>
      </c>
    </row>
    <row r="85" spans="1:7" ht="32.1" customHeight="1" x14ac:dyDescent="0.25">
      <c r="A85" s="10" t="s">
        <v>56</v>
      </c>
      <c r="B85" s="10" t="s">
        <v>121</v>
      </c>
      <c r="C85" s="10" t="s">
        <v>3</v>
      </c>
      <c r="D85" s="10" t="s">
        <v>64</v>
      </c>
      <c r="E85" s="11">
        <v>201</v>
      </c>
      <c r="F85" s="10" t="s">
        <v>217</v>
      </c>
      <c r="G85" s="11">
        <v>2</v>
      </c>
    </row>
    <row r="86" spans="1:7" ht="32.1" customHeight="1" x14ac:dyDescent="0.25">
      <c r="A86" s="10" t="s">
        <v>56</v>
      </c>
      <c r="B86" s="10" t="s">
        <v>121</v>
      </c>
      <c r="C86" s="10" t="s">
        <v>3</v>
      </c>
      <c r="D86" s="10" t="s">
        <v>64</v>
      </c>
      <c r="E86" s="11">
        <v>201</v>
      </c>
      <c r="F86" s="10" t="s">
        <v>218</v>
      </c>
      <c r="G86" s="11">
        <v>1375</v>
      </c>
    </row>
    <row r="87" spans="1:7" ht="32.1" customHeight="1" x14ac:dyDescent="0.25">
      <c r="A87" s="10" t="s">
        <v>56</v>
      </c>
      <c r="B87" s="10" t="s">
        <v>121</v>
      </c>
      <c r="C87" s="10" t="s">
        <v>3</v>
      </c>
      <c r="D87" s="10" t="s">
        <v>64</v>
      </c>
      <c r="E87" s="11">
        <v>503</v>
      </c>
      <c r="F87" s="14" t="s">
        <v>219</v>
      </c>
      <c r="G87" s="11">
        <v>10</v>
      </c>
    </row>
  </sheetData>
  <mergeCells count="3">
    <mergeCell ref="A3:H3"/>
    <mergeCell ref="A2:H2"/>
    <mergeCell ref="A1:H1"/>
  </mergeCells>
  <hyperlinks>
    <hyperlink ref="F8" r:id="rId1" xr:uid="{00000000-0004-0000-0600-000000000000}"/>
    <hyperlink ref="F12" r:id="rId2" xr:uid="{00000000-0004-0000-0600-000001000000}"/>
    <hyperlink ref="F16" r:id="rId3" xr:uid="{00000000-0004-0000-0600-000002000000}"/>
    <hyperlink ref="F18" r:id="rId4" xr:uid="{00000000-0004-0000-0600-000003000000}"/>
    <hyperlink ref="F21" r:id="rId5" xr:uid="{00000000-0004-0000-0600-000004000000}"/>
    <hyperlink ref="F25" r:id="rId6" xr:uid="{00000000-0004-0000-0600-000005000000}"/>
    <hyperlink ref="F29" r:id="rId7" xr:uid="{00000000-0004-0000-0600-000006000000}"/>
    <hyperlink ref="F33" r:id="rId8" xr:uid="{00000000-0004-0000-0600-000007000000}"/>
    <hyperlink ref="F37" r:id="rId9" xr:uid="{00000000-0004-0000-0600-000008000000}"/>
    <hyperlink ref="F41" r:id="rId10" xr:uid="{00000000-0004-0000-0600-000009000000}"/>
    <hyperlink ref="F44" r:id="rId11" xr:uid="{00000000-0004-0000-0600-00000A000000}"/>
    <hyperlink ref="F48" r:id="rId12" xr:uid="{00000000-0004-0000-0600-00000B000000}"/>
    <hyperlink ref="F54" r:id="rId13" xr:uid="{00000000-0004-0000-0600-00000C000000}"/>
    <hyperlink ref="F58" r:id="rId14" xr:uid="{00000000-0004-0000-0600-00000D000000}"/>
    <hyperlink ref="F62" r:id="rId15" xr:uid="{00000000-0004-0000-0600-00000E000000}"/>
    <hyperlink ref="F65" r:id="rId16" xr:uid="{00000000-0004-0000-0600-00000F000000}"/>
    <hyperlink ref="F69" r:id="rId17" xr:uid="{00000000-0004-0000-0600-000010000000}"/>
    <hyperlink ref="F72" r:id="rId18" xr:uid="{00000000-0004-0000-0600-000011000000}"/>
    <hyperlink ref="F79" r:id="rId19" xr:uid="{00000000-0004-0000-0600-000012000000}"/>
    <hyperlink ref="F83" r:id="rId20" xr:uid="{00000000-0004-0000-0600-000013000000}"/>
    <hyperlink ref="F87" r:id="rId21" xr:uid="{00000000-0004-0000-0600-000014000000}"/>
  </hyperlinks>
  <pageMargins left="0.75" right="0.75" top="1" bottom="1" header="0.5" footer="0.5"/>
  <pageSetup paperSize="8" fitToHeight="0" orientation="landscape"/>
  <headerFooter>
    <oddFooter>&amp;CDEMO | &amp;A | &amp;P / &amp;N</oddFooter>
  </headerFooter>
  <tableParts count="1">
    <tablePart r:id="rId2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140"/>
  <sheetViews>
    <sheetView showGridLines="0"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4" width="26" customWidth="1"/>
    <col min="5" max="5" width="21" customWidth="1"/>
  </cols>
  <sheetData>
    <row r="1" spans="1:8" ht="33.950000000000003" customHeight="1" x14ac:dyDescent="0.25">
      <c r="A1" s="25" t="s">
        <v>221</v>
      </c>
      <c r="B1" s="22"/>
      <c r="C1" s="22"/>
      <c r="D1" s="22"/>
      <c r="E1" s="22"/>
      <c r="F1" s="22"/>
      <c r="G1" s="22"/>
      <c r="H1" s="22"/>
    </row>
    <row r="2" spans="1:8" ht="30" customHeight="1" x14ac:dyDescent="0.25">
      <c r="A2" s="21" t="s">
        <v>1</v>
      </c>
      <c r="B2" s="22"/>
      <c r="C2" s="22"/>
      <c r="D2" s="22"/>
      <c r="E2" s="22"/>
      <c r="F2" s="22"/>
      <c r="G2" s="22"/>
      <c r="H2" s="22"/>
    </row>
    <row r="3" spans="1:8" ht="30" customHeight="1" x14ac:dyDescent="0.25">
      <c r="A3" s="26" t="s">
        <v>222</v>
      </c>
      <c r="B3" s="22"/>
      <c r="C3" s="22"/>
      <c r="D3" s="22"/>
      <c r="E3" s="22"/>
      <c r="F3" s="22"/>
      <c r="G3" s="22"/>
      <c r="H3" s="22"/>
    </row>
    <row r="5" spans="1:8" ht="36" customHeight="1" x14ac:dyDescent="0.25">
      <c r="A5" s="2" t="s">
        <v>223</v>
      </c>
      <c r="B5" s="2" t="s">
        <v>22</v>
      </c>
      <c r="C5" s="2" t="s">
        <v>24</v>
      </c>
      <c r="D5" s="2" t="s">
        <v>224</v>
      </c>
      <c r="E5" s="2" t="s">
        <v>225</v>
      </c>
    </row>
    <row r="6" spans="1:8" ht="32.1" customHeight="1" x14ac:dyDescent="0.25">
      <c r="A6" s="10" t="s">
        <v>83</v>
      </c>
      <c r="B6" s="10" t="s">
        <v>56</v>
      </c>
      <c r="C6" s="10" t="s">
        <v>94</v>
      </c>
      <c r="D6" s="10" t="s">
        <v>226</v>
      </c>
      <c r="E6" s="15">
        <v>2.5829999999999999E-2</v>
      </c>
    </row>
    <row r="7" spans="1:8" ht="32.1" customHeight="1" x14ac:dyDescent="0.25">
      <c r="A7" s="10" t="s">
        <v>83</v>
      </c>
      <c r="B7" s="10" t="s">
        <v>56</v>
      </c>
      <c r="C7" s="10" t="s">
        <v>94</v>
      </c>
      <c r="D7" s="10" t="s">
        <v>227</v>
      </c>
      <c r="E7" s="15">
        <v>2.214E-2</v>
      </c>
    </row>
    <row r="8" spans="1:8" ht="32.1" customHeight="1" x14ac:dyDescent="0.25">
      <c r="A8" s="10" t="s">
        <v>83</v>
      </c>
      <c r="B8" s="10" t="s">
        <v>56</v>
      </c>
      <c r="C8" s="10" t="s">
        <v>94</v>
      </c>
      <c r="D8" s="10" t="s">
        <v>228</v>
      </c>
      <c r="E8" s="15">
        <v>0</v>
      </c>
    </row>
    <row r="9" spans="1:8" ht="32.1" customHeight="1" x14ac:dyDescent="0.25">
      <c r="A9" s="10" t="s">
        <v>83</v>
      </c>
      <c r="B9" s="10" t="s">
        <v>56</v>
      </c>
      <c r="C9" s="10" t="s">
        <v>94</v>
      </c>
      <c r="D9" s="10" t="s">
        <v>229</v>
      </c>
      <c r="E9" s="15">
        <v>0.18459999999999999</v>
      </c>
    </row>
    <row r="10" spans="1:8" ht="32.1" customHeight="1" x14ac:dyDescent="0.25">
      <c r="A10" s="10" t="s">
        <v>83</v>
      </c>
      <c r="B10" s="10" t="s">
        <v>56</v>
      </c>
      <c r="C10" s="10" t="s">
        <v>94</v>
      </c>
      <c r="D10" s="10" t="s">
        <v>230</v>
      </c>
      <c r="E10" s="15">
        <v>0</v>
      </c>
    </row>
    <row r="11" spans="1:8" ht="32.1" customHeight="1" x14ac:dyDescent="0.25">
      <c r="A11" s="10" t="s">
        <v>83</v>
      </c>
      <c r="B11" s="10" t="s">
        <v>56</v>
      </c>
      <c r="C11" s="10" t="s">
        <v>94</v>
      </c>
      <c r="D11" s="10" t="s">
        <v>231</v>
      </c>
      <c r="E11" s="15">
        <v>0</v>
      </c>
    </row>
    <row r="12" spans="1:8" ht="32.1" customHeight="1" x14ac:dyDescent="0.25">
      <c r="A12" s="10" t="s">
        <v>83</v>
      </c>
      <c r="B12" s="10" t="s">
        <v>56</v>
      </c>
      <c r="C12" s="10" t="s">
        <v>94</v>
      </c>
      <c r="D12" s="10" t="s">
        <v>232</v>
      </c>
      <c r="E12" s="15">
        <v>0</v>
      </c>
    </row>
    <row r="13" spans="1:8" ht="32.1" customHeight="1" x14ac:dyDescent="0.25">
      <c r="A13" s="10" t="s">
        <v>83</v>
      </c>
      <c r="B13" s="10" t="s">
        <v>56</v>
      </c>
      <c r="C13" s="10" t="s">
        <v>94</v>
      </c>
      <c r="D13" s="10" t="s">
        <v>233</v>
      </c>
      <c r="E13" s="15">
        <v>0</v>
      </c>
    </row>
    <row r="14" spans="1:8" ht="32.1" customHeight="1" x14ac:dyDescent="0.25">
      <c r="A14" s="10" t="s">
        <v>83</v>
      </c>
      <c r="B14" s="10" t="s">
        <v>56</v>
      </c>
      <c r="C14" s="10" t="s">
        <v>94</v>
      </c>
      <c r="D14" s="10" t="s">
        <v>234</v>
      </c>
      <c r="E14" s="15">
        <v>0</v>
      </c>
    </row>
    <row r="15" spans="1:8" ht="32.1" customHeight="1" x14ac:dyDescent="0.25">
      <c r="A15" s="10" t="s">
        <v>83</v>
      </c>
      <c r="B15" s="10" t="s">
        <v>56</v>
      </c>
      <c r="C15" s="10" t="s">
        <v>94</v>
      </c>
      <c r="D15" s="10" t="s">
        <v>235</v>
      </c>
      <c r="E15" s="15">
        <v>0</v>
      </c>
    </row>
    <row r="16" spans="1:8" ht="32.1" customHeight="1" x14ac:dyDescent="0.25">
      <c r="A16" s="10" t="s">
        <v>83</v>
      </c>
      <c r="B16" s="10" t="s">
        <v>56</v>
      </c>
      <c r="C16" s="10" t="s">
        <v>94</v>
      </c>
      <c r="D16" s="10" t="s">
        <v>236</v>
      </c>
      <c r="E16" s="15">
        <v>0</v>
      </c>
    </row>
    <row r="17" spans="1:5" ht="32.1" customHeight="1" x14ac:dyDescent="0.25">
      <c r="A17" s="10" t="s">
        <v>83</v>
      </c>
      <c r="B17" s="10" t="s">
        <v>56</v>
      </c>
      <c r="C17" s="10" t="s">
        <v>94</v>
      </c>
      <c r="D17" s="10" t="s">
        <v>237</v>
      </c>
      <c r="E17" s="15">
        <v>0</v>
      </c>
    </row>
    <row r="18" spans="1:5" ht="32.1" customHeight="1" x14ac:dyDescent="0.25">
      <c r="A18" s="10" t="s">
        <v>83</v>
      </c>
      <c r="B18" s="10" t="s">
        <v>56</v>
      </c>
      <c r="C18" s="10" t="s">
        <v>94</v>
      </c>
      <c r="D18" s="10" t="s">
        <v>238</v>
      </c>
      <c r="E18" s="15">
        <v>60.346282199999997</v>
      </c>
    </row>
    <row r="19" spans="1:5" ht="32.1" customHeight="1" x14ac:dyDescent="0.25">
      <c r="A19" s="10" t="s">
        <v>83</v>
      </c>
      <c r="B19" s="10" t="s">
        <v>56</v>
      </c>
      <c r="C19" s="10" t="s">
        <v>94</v>
      </c>
      <c r="D19" s="10" t="s">
        <v>239</v>
      </c>
      <c r="E19" s="15">
        <v>0.43999999999999989</v>
      </c>
    </row>
    <row r="20" spans="1:5" ht="32.1" customHeight="1" x14ac:dyDescent="0.25">
      <c r="A20" s="10" t="s">
        <v>83</v>
      </c>
      <c r="B20" s="10" t="s">
        <v>56</v>
      </c>
      <c r="C20" s="10" t="s">
        <v>94</v>
      </c>
      <c r="D20" s="10" t="s">
        <v>240</v>
      </c>
      <c r="E20" s="15">
        <v>0</v>
      </c>
    </row>
    <row r="21" spans="1:5" ht="32.1" customHeight="1" x14ac:dyDescent="0.25">
      <c r="A21" s="10" t="s">
        <v>83</v>
      </c>
      <c r="B21" s="10" t="s">
        <v>56</v>
      </c>
      <c r="C21" s="10" t="s">
        <v>121</v>
      </c>
      <c r="D21" s="10" t="s">
        <v>226</v>
      </c>
      <c r="E21" s="15">
        <v>2.5829999999999999E-2</v>
      </c>
    </row>
    <row r="22" spans="1:5" ht="32.1" customHeight="1" x14ac:dyDescent="0.25">
      <c r="A22" s="10" t="s">
        <v>83</v>
      </c>
      <c r="B22" s="10" t="s">
        <v>56</v>
      </c>
      <c r="C22" s="10" t="s">
        <v>121</v>
      </c>
      <c r="D22" s="10" t="s">
        <v>227</v>
      </c>
      <c r="E22" s="15">
        <v>2.214E-2</v>
      </c>
    </row>
    <row r="23" spans="1:5" ht="32.1" customHeight="1" x14ac:dyDescent="0.25">
      <c r="A23" s="10" t="s">
        <v>83</v>
      </c>
      <c r="B23" s="10" t="s">
        <v>56</v>
      </c>
      <c r="C23" s="10" t="s">
        <v>121</v>
      </c>
      <c r="D23" s="10" t="s">
        <v>228</v>
      </c>
      <c r="E23" s="15">
        <v>0</v>
      </c>
    </row>
    <row r="24" spans="1:5" ht="32.1" customHeight="1" x14ac:dyDescent="0.25">
      <c r="A24" s="10" t="s">
        <v>83</v>
      </c>
      <c r="B24" s="10" t="s">
        <v>56</v>
      </c>
      <c r="C24" s="10" t="s">
        <v>121</v>
      </c>
      <c r="D24" s="10" t="s">
        <v>229</v>
      </c>
      <c r="E24" s="15">
        <v>0.18459999999999999</v>
      </c>
    </row>
    <row r="25" spans="1:5" ht="32.1" customHeight="1" x14ac:dyDescent="0.25">
      <c r="A25" s="10" t="s">
        <v>83</v>
      </c>
      <c r="B25" s="10" t="s">
        <v>56</v>
      </c>
      <c r="C25" s="10" t="s">
        <v>121</v>
      </c>
      <c r="D25" s="10" t="s">
        <v>230</v>
      </c>
      <c r="E25" s="15">
        <v>0</v>
      </c>
    </row>
    <row r="26" spans="1:5" ht="32.1" customHeight="1" x14ac:dyDescent="0.25">
      <c r="A26" s="10" t="s">
        <v>83</v>
      </c>
      <c r="B26" s="10" t="s">
        <v>56</v>
      </c>
      <c r="C26" s="10" t="s">
        <v>121</v>
      </c>
      <c r="D26" s="10" t="s">
        <v>231</v>
      </c>
      <c r="E26" s="15">
        <v>0</v>
      </c>
    </row>
    <row r="27" spans="1:5" ht="32.1" customHeight="1" x14ac:dyDescent="0.25">
      <c r="A27" s="10" t="s">
        <v>83</v>
      </c>
      <c r="B27" s="10" t="s">
        <v>56</v>
      </c>
      <c r="C27" s="10" t="s">
        <v>121</v>
      </c>
      <c r="D27" s="10" t="s">
        <v>232</v>
      </c>
      <c r="E27" s="15">
        <v>0</v>
      </c>
    </row>
    <row r="28" spans="1:5" ht="32.1" customHeight="1" x14ac:dyDescent="0.25">
      <c r="A28" s="10" t="s">
        <v>83</v>
      </c>
      <c r="B28" s="10" t="s">
        <v>56</v>
      </c>
      <c r="C28" s="10" t="s">
        <v>121</v>
      </c>
      <c r="D28" s="10" t="s">
        <v>233</v>
      </c>
      <c r="E28" s="15">
        <v>0</v>
      </c>
    </row>
    <row r="29" spans="1:5" ht="32.1" customHeight="1" x14ac:dyDescent="0.25">
      <c r="A29" s="10" t="s">
        <v>83</v>
      </c>
      <c r="B29" s="10" t="s">
        <v>56</v>
      </c>
      <c r="C29" s="10" t="s">
        <v>121</v>
      </c>
      <c r="D29" s="10" t="s">
        <v>234</v>
      </c>
      <c r="E29" s="15">
        <v>0</v>
      </c>
    </row>
    <row r="30" spans="1:5" ht="32.1" customHeight="1" x14ac:dyDescent="0.25">
      <c r="A30" s="10" t="s">
        <v>83</v>
      </c>
      <c r="B30" s="10" t="s">
        <v>56</v>
      </c>
      <c r="C30" s="10" t="s">
        <v>121</v>
      </c>
      <c r="D30" s="10" t="s">
        <v>235</v>
      </c>
      <c r="E30" s="15">
        <v>0</v>
      </c>
    </row>
    <row r="31" spans="1:5" ht="32.1" customHeight="1" x14ac:dyDescent="0.25">
      <c r="A31" s="10" t="s">
        <v>83</v>
      </c>
      <c r="B31" s="10" t="s">
        <v>56</v>
      </c>
      <c r="C31" s="10" t="s">
        <v>121</v>
      </c>
      <c r="D31" s="10" t="s">
        <v>236</v>
      </c>
      <c r="E31" s="15">
        <v>0</v>
      </c>
    </row>
    <row r="32" spans="1:5" ht="32.1" customHeight="1" x14ac:dyDescent="0.25">
      <c r="A32" s="10" t="s">
        <v>83</v>
      </c>
      <c r="B32" s="10" t="s">
        <v>56</v>
      </c>
      <c r="C32" s="10" t="s">
        <v>121</v>
      </c>
      <c r="D32" s="10" t="s">
        <v>237</v>
      </c>
      <c r="E32" s="15">
        <v>0</v>
      </c>
    </row>
    <row r="33" spans="1:5" ht="32.1" customHeight="1" x14ac:dyDescent="0.25">
      <c r="A33" s="10" t="s">
        <v>83</v>
      </c>
      <c r="B33" s="10" t="s">
        <v>56</v>
      </c>
      <c r="C33" s="10" t="s">
        <v>121</v>
      </c>
      <c r="D33" s="10" t="s">
        <v>241</v>
      </c>
      <c r="E33" s="15">
        <v>0.33673084426007788</v>
      </c>
    </row>
    <row r="34" spans="1:5" ht="32.1" customHeight="1" x14ac:dyDescent="0.25">
      <c r="A34" s="10" t="s">
        <v>83</v>
      </c>
      <c r="B34" s="10" t="s">
        <v>56</v>
      </c>
      <c r="C34" s="10" t="s">
        <v>121</v>
      </c>
      <c r="D34" s="10" t="s">
        <v>242</v>
      </c>
      <c r="E34" s="15">
        <v>3.5076129610424701E-2</v>
      </c>
    </row>
    <row r="35" spans="1:5" ht="32.1" customHeight="1" x14ac:dyDescent="0.25">
      <c r="A35" s="10" t="s">
        <v>83</v>
      </c>
      <c r="B35" s="10" t="s">
        <v>56</v>
      </c>
      <c r="C35" s="10" t="s">
        <v>121</v>
      </c>
      <c r="D35" s="10" t="s">
        <v>243</v>
      </c>
      <c r="E35" s="15">
        <v>0.04</v>
      </c>
    </row>
    <row r="36" spans="1:5" ht="32.1" customHeight="1" x14ac:dyDescent="0.25">
      <c r="A36" s="10" t="s">
        <v>83</v>
      </c>
      <c r="B36" s="10" t="s">
        <v>56</v>
      </c>
      <c r="C36" s="10" t="s">
        <v>58</v>
      </c>
      <c r="D36" s="10" t="s">
        <v>226</v>
      </c>
      <c r="E36" s="15">
        <v>2.5829999999999999E-2</v>
      </c>
    </row>
    <row r="37" spans="1:5" ht="32.1" customHeight="1" x14ac:dyDescent="0.25">
      <c r="A37" s="10" t="s">
        <v>83</v>
      </c>
      <c r="B37" s="10" t="s">
        <v>56</v>
      </c>
      <c r="C37" s="10" t="s">
        <v>58</v>
      </c>
      <c r="D37" s="10" t="s">
        <v>227</v>
      </c>
      <c r="E37" s="15">
        <v>2.214E-2</v>
      </c>
    </row>
    <row r="38" spans="1:5" ht="32.1" customHeight="1" x14ac:dyDescent="0.25">
      <c r="A38" s="10" t="s">
        <v>83</v>
      </c>
      <c r="B38" s="10" t="s">
        <v>56</v>
      </c>
      <c r="C38" s="10" t="s">
        <v>58</v>
      </c>
      <c r="D38" s="10" t="s">
        <v>228</v>
      </c>
      <c r="E38" s="15">
        <v>0</v>
      </c>
    </row>
    <row r="39" spans="1:5" ht="32.1" customHeight="1" x14ac:dyDescent="0.25">
      <c r="A39" s="10" t="s">
        <v>83</v>
      </c>
      <c r="B39" s="10" t="s">
        <v>56</v>
      </c>
      <c r="C39" s="10" t="s">
        <v>58</v>
      </c>
      <c r="D39" s="10" t="s">
        <v>229</v>
      </c>
      <c r="E39" s="15">
        <v>0.18459999999999999</v>
      </c>
    </row>
    <row r="40" spans="1:5" ht="32.1" customHeight="1" x14ac:dyDescent="0.25">
      <c r="A40" s="10" t="s">
        <v>83</v>
      </c>
      <c r="B40" s="10" t="s">
        <v>56</v>
      </c>
      <c r="C40" s="10" t="s">
        <v>58</v>
      </c>
      <c r="D40" s="10" t="s">
        <v>230</v>
      </c>
      <c r="E40" s="15">
        <v>0</v>
      </c>
    </row>
    <row r="41" spans="1:5" ht="32.1" customHeight="1" x14ac:dyDescent="0.25">
      <c r="A41" s="10" t="s">
        <v>83</v>
      </c>
      <c r="B41" s="10" t="s">
        <v>56</v>
      </c>
      <c r="C41" s="10" t="s">
        <v>58</v>
      </c>
      <c r="D41" s="10" t="s">
        <v>231</v>
      </c>
      <c r="E41" s="15">
        <v>0</v>
      </c>
    </row>
    <row r="42" spans="1:5" ht="32.1" customHeight="1" x14ac:dyDescent="0.25">
      <c r="A42" s="10" t="s">
        <v>83</v>
      </c>
      <c r="B42" s="10" t="s">
        <v>56</v>
      </c>
      <c r="C42" s="10" t="s">
        <v>58</v>
      </c>
      <c r="D42" s="10" t="s">
        <v>232</v>
      </c>
      <c r="E42" s="15">
        <v>0</v>
      </c>
    </row>
    <row r="43" spans="1:5" ht="32.1" customHeight="1" x14ac:dyDescent="0.25">
      <c r="A43" s="10" t="s">
        <v>83</v>
      </c>
      <c r="B43" s="10" t="s">
        <v>56</v>
      </c>
      <c r="C43" s="10" t="s">
        <v>58</v>
      </c>
      <c r="D43" s="10" t="s">
        <v>233</v>
      </c>
      <c r="E43" s="15">
        <v>0</v>
      </c>
    </row>
    <row r="44" spans="1:5" ht="32.1" customHeight="1" x14ac:dyDescent="0.25">
      <c r="A44" s="10" t="s">
        <v>83</v>
      </c>
      <c r="B44" s="10" t="s">
        <v>56</v>
      </c>
      <c r="C44" s="10" t="s">
        <v>58</v>
      </c>
      <c r="D44" s="10" t="s">
        <v>234</v>
      </c>
      <c r="E44" s="15">
        <v>0</v>
      </c>
    </row>
    <row r="45" spans="1:5" ht="32.1" customHeight="1" x14ac:dyDescent="0.25">
      <c r="A45" s="10" t="s">
        <v>83</v>
      </c>
      <c r="B45" s="10" t="s">
        <v>56</v>
      </c>
      <c r="C45" s="10" t="s">
        <v>58</v>
      </c>
      <c r="D45" s="10" t="s">
        <v>235</v>
      </c>
      <c r="E45" s="15">
        <v>0</v>
      </c>
    </row>
    <row r="46" spans="1:5" ht="32.1" customHeight="1" x14ac:dyDescent="0.25">
      <c r="A46" s="10" t="s">
        <v>83</v>
      </c>
      <c r="B46" s="10" t="s">
        <v>56</v>
      </c>
      <c r="C46" s="10" t="s">
        <v>58</v>
      </c>
      <c r="D46" s="10" t="s">
        <v>236</v>
      </c>
      <c r="E46" s="15">
        <v>0</v>
      </c>
    </row>
    <row r="47" spans="1:5" ht="32.1" customHeight="1" x14ac:dyDescent="0.25">
      <c r="A47" s="10" t="s">
        <v>83</v>
      </c>
      <c r="B47" s="10" t="s">
        <v>56</v>
      </c>
      <c r="C47" s="10" t="s">
        <v>58</v>
      </c>
      <c r="D47" s="10" t="s">
        <v>237</v>
      </c>
      <c r="E47" s="15">
        <v>0</v>
      </c>
    </row>
    <row r="48" spans="1:5" ht="32.1" customHeight="1" x14ac:dyDescent="0.25">
      <c r="A48" s="10" t="s">
        <v>83</v>
      </c>
      <c r="B48" s="10" t="s">
        <v>56</v>
      </c>
      <c r="C48" s="10" t="s">
        <v>58</v>
      </c>
      <c r="D48" s="10" t="s">
        <v>241</v>
      </c>
      <c r="E48" s="15">
        <v>0.33673084426007788</v>
      </c>
    </row>
    <row r="49" spans="1:5" ht="32.1" customHeight="1" x14ac:dyDescent="0.25">
      <c r="A49" s="10" t="s">
        <v>83</v>
      </c>
      <c r="B49" s="10" t="s">
        <v>56</v>
      </c>
      <c r="C49" s="10" t="s">
        <v>58</v>
      </c>
      <c r="D49" s="10" t="s">
        <v>242</v>
      </c>
      <c r="E49" s="15">
        <v>3.5076129610424701E-2</v>
      </c>
    </row>
    <row r="50" spans="1:5" ht="32.1" customHeight="1" x14ac:dyDescent="0.25">
      <c r="A50" s="10" t="s">
        <v>83</v>
      </c>
      <c r="B50" s="10" t="s">
        <v>56</v>
      </c>
      <c r="C50" s="10" t="s">
        <v>58</v>
      </c>
      <c r="D50" s="10" t="s">
        <v>243</v>
      </c>
      <c r="E50" s="15">
        <v>0.04</v>
      </c>
    </row>
    <row r="51" spans="1:5" ht="32.1" customHeight="1" x14ac:dyDescent="0.25">
      <c r="A51" s="10" t="s">
        <v>4</v>
      </c>
      <c r="B51" s="10" t="s">
        <v>56</v>
      </c>
      <c r="C51" s="10" t="s">
        <v>94</v>
      </c>
      <c r="D51" s="10" t="s">
        <v>226</v>
      </c>
      <c r="E51" s="15">
        <v>0.51660000000000006</v>
      </c>
    </row>
    <row r="52" spans="1:5" ht="32.1" customHeight="1" x14ac:dyDescent="0.25">
      <c r="A52" s="10" t="s">
        <v>4</v>
      </c>
      <c r="B52" s="10" t="s">
        <v>56</v>
      </c>
      <c r="C52" s="10" t="s">
        <v>94</v>
      </c>
      <c r="D52" s="10" t="s">
        <v>227</v>
      </c>
      <c r="E52" s="15">
        <v>0.4427999999999998</v>
      </c>
    </row>
    <row r="53" spans="1:5" ht="32.1" customHeight="1" x14ac:dyDescent="0.25">
      <c r="A53" s="10" t="s">
        <v>4</v>
      </c>
      <c r="B53" s="10" t="s">
        <v>56</v>
      </c>
      <c r="C53" s="10" t="s">
        <v>94</v>
      </c>
      <c r="D53" s="10" t="s">
        <v>228</v>
      </c>
      <c r="E53" s="15">
        <v>0</v>
      </c>
    </row>
    <row r="54" spans="1:5" ht="32.1" customHeight="1" x14ac:dyDescent="0.25">
      <c r="A54" s="10" t="s">
        <v>4</v>
      </c>
      <c r="B54" s="10" t="s">
        <v>56</v>
      </c>
      <c r="C54" s="10" t="s">
        <v>94</v>
      </c>
      <c r="D54" s="10" t="s">
        <v>229</v>
      </c>
      <c r="E54" s="15">
        <v>0.18459999999999999</v>
      </c>
    </row>
    <row r="55" spans="1:5" ht="32.1" customHeight="1" x14ac:dyDescent="0.25">
      <c r="A55" s="10" t="s">
        <v>4</v>
      </c>
      <c r="B55" s="10" t="s">
        <v>56</v>
      </c>
      <c r="C55" s="10" t="s">
        <v>94</v>
      </c>
      <c r="D55" s="10" t="s">
        <v>230</v>
      </c>
      <c r="E55" s="15">
        <v>0</v>
      </c>
    </row>
    <row r="56" spans="1:5" ht="32.1" customHeight="1" x14ac:dyDescent="0.25">
      <c r="A56" s="10" t="s">
        <v>4</v>
      </c>
      <c r="B56" s="10" t="s">
        <v>56</v>
      </c>
      <c r="C56" s="10" t="s">
        <v>94</v>
      </c>
      <c r="D56" s="10" t="s">
        <v>231</v>
      </c>
      <c r="E56" s="15">
        <v>0</v>
      </c>
    </row>
    <row r="57" spans="1:5" ht="32.1" customHeight="1" x14ac:dyDescent="0.25">
      <c r="A57" s="10" t="s">
        <v>4</v>
      </c>
      <c r="B57" s="10" t="s">
        <v>56</v>
      </c>
      <c r="C57" s="10" t="s">
        <v>94</v>
      </c>
      <c r="D57" s="10" t="s">
        <v>232</v>
      </c>
      <c r="E57" s="15">
        <v>0</v>
      </c>
    </row>
    <row r="58" spans="1:5" ht="32.1" customHeight="1" x14ac:dyDescent="0.25">
      <c r="A58" s="10" t="s">
        <v>4</v>
      </c>
      <c r="B58" s="10" t="s">
        <v>56</v>
      </c>
      <c r="C58" s="10" t="s">
        <v>94</v>
      </c>
      <c r="D58" s="10" t="s">
        <v>233</v>
      </c>
      <c r="E58" s="15">
        <v>0</v>
      </c>
    </row>
    <row r="59" spans="1:5" ht="32.1" customHeight="1" x14ac:dyDescent="0.25">
      <c r="A59" s="10" t="s">
        <v>4</v>
      </c>
      <c r="B59" s="10" t="s">
        <v>56</v>
      </c>
      <c r="C59" s="10" t="s">
        <v>94</v>
      </c>
      <c r="D59" s="10" t="s">
        <v>234</v>
      </c>
      <c r="E59" s="15">
        <v>0</v>
      </c>
    </row>
    <row r="60" spans="1:5" ht="32.1" customHeight="1" x14ac:dyDescent="0.25">
      <c r="A60" s="10" t="s">
        <v>4</v>
      </c>
      <c r="B60" s="10" t="s">
        <v>56</v>
      </c>
      <c r="C60" s="10" t="s">
        <v>94</v>
      </c>
      <c r="D60" s="10" t="s">
        <v>235</v>
      </c>
      <c r="E60" s="15">
        <v>0</v>
      </c>
    </row>
    <row r="61" spans="1:5" ht="32.1" customHeight="1" x14ac:dyDescent="0.25">
      <c r="A61" s="10" t="s">
        <v>4</v>
      </c>
      <c r="B61" s="10" t="s">
        <v>56</v>
      </c>
      <c r="C61" s="10" t="s">
        <v>94</v>
      </c>
      <c r="D61" s="10" t="s">
        <v>236</v>
      </c>
      <c r="E61" s="15">
        <v>0</v>
      </c>
    </row>
    <row r="62" spans="1:5" ht="32.1" customHeight="1" x14ac:dyDescent="0.25">
      <c r="A62" s="10" t="s">
        <v>4</v>
      </c>
      <c r="B62" s="10" t="s">
        <v>56</v>
      </c>
      <c r="C62" s="10" t="s">
        <v>94</v>
      </c>
      <c r="D62" s="10" t="s">
        <v>237</v>
      </c>
      <c r="E62" s="15">
        <v>0</v>
      </c>
    </row>
    <row r="63" spans="1:5" ht="32.1" customHeight="1" x14ac:dyDescent="0.25">
      <c r="A63" s="10" t="s">
        <v>4</v>
      </c>
      <c r="B63" s="10" t="s">
        <v>56</v>
      </c>
      <c r="C63" s="10" t="s">
        <v>94</v>
      </c>
      <c r="D63" s="10" t="s">
        <v>238</v>
      </c>
      <c r="E63" s="15">
        <v>60.346282199999997</v>
      </c>
    </row>
    <row r="64" spans="1:5" ht="32.1" customHeight="1" x14ac:dyDescent="0.25">
      <c r="A64" s="10" t="s">
        <v>4</v>
      </c>
      <c r="B64" s="10" t="s">
        <v>56</v>
      </c>
      <c r="C64" s="10" t="s">
        <v>94</v>
      </c>
      <c r="D64" s="10" t="s">
        <v>239</v>
      </c>
      <c r="E64" s="15">
        <v>0.43999999999999989</v>
      </c>
    </row>
    <row r="65" spans="1:5" ht="32.1" customHeight="1" x14ac:dyDescent="0.25">
      <c r="A65" s="10" t="s">
        <v>4</v>
      </c>
      <c r="B65" s="10" t="s">
        <v>56</v>
      </c>
      <c r="C65" s="10" t="s">
        <v>94</v>
      </c>
      <c r="D65" s="10" t="s">
        <v>240</v>
      </c>
      <c r="E65" s="15">
        <v>0</v>
      </c>
    </row>
    <row r="66" spans="1:5" ht="32.1" customHeight="1" x14ac:dyDescent="0.25">
      <c r="A66" s="10" t="s">
        <v>4</v>
      </c>
      <c r="B66" s="10" t="s">
        <v>56</v>
      </c>
      <c r="C66" s="10" t="s">
        <v>121</v>
      </c>
      <c r="D66" s="10" t="s">
        <v>226</v>
      </c>
      <c r="E66" s="15">
        <v>0.51660000000000006</v>
      </c>
    </row>
    <row r="67" spans="1:5" ht="32.1" customHeight="1" x14ac:dyDescent="0.25">
      <c r="A67" s="10" t="s">
        <v>4</v>
      </c>
      <c r="B67" s="10" t="s">
        <v>56</v>
      </c>
      <c r="C67" s="10" t="s">
        <v>121</v>
      </c>
      <c r="D67" s="10" t="s">
        <v>227</v>
      </c>
      <c r="E67" s="15">
        <v>0.4427999999999998</v>
      </c>
    </row>
    <row r="68" spans="1:5" ht="32.1" customHeight="1" x14ac:dyDescent="0.25">
      <c r="A68" s="10" t="s">
        <v>4</v>
      </c>
      <c r="B68" s="10" t="s">
        <v>56</v>
      </c>
      <c r="C68" s="10" t="s">
        <v>121</v>
      </c>
      <c r="D68" s="10" t="s">
        <v>228</v>
      </c>
      <c r="E68" s="15">
        <v>0</v>
      </c>
    </row>
    <row r="69" spans="1:5" ht="32.1" customHeight="1" x14ac:dyDescent="0.25">
      <c r="A69" s="10" t="s">
        <v>4</v>
      </c>
      <c r="B69" s="10" t="s">
        <v>56</v>
      </c>
      <c r="C69" s="10" t="s">
        <v>121</v>
      </c>
      <c r="D69" s="10" t="s">
        <v>229</v>
      </c>
      <c r="E69" s="15">
        <v>0.18459999999999999</v>
      </c>
    </row>
    <row r="70" spans="1:5" ht="32.1" customHeight="1" x14ac:dyDescent="0.25">
      <c r="A70" s="10" t="s">
        <v>4</v>
      </c>
      <c r="B70" s="10" t="s">
        <v>56</v>
      </c>
      <c r="C70" s="10" t="s">
        <v>121</v>
      </c>
      <c r="D70" s="10" t="s">
        <v>230</v>
      </c>
      <c r="E70" s="15">
        <v>0</v>
      </c>
    </row>
    <row r="71" spans="1:5" ht="32.1" customHeight="1" x14ac:dyDescent="0.25">
      <c r="A71" s="10" t="s">
        <v>4</v>
      </c>
      <c r="B71" s="10" t="s">
        <v>56</v>
      </c>
      <c r="C71" s="10" t="s">
        <v>121</v>
      </c>
      <c r="D71" s="10" t="s">
        <v>231</v>
      </c>
      <c r="E71" s="15">
        <v>0</v>
      </c>
    </row>
    <row r="72" spans="1:5" ht="32.1" customHeight="1" x14ac:dyDescent="0.25">
      <c r="A72" s="10" t="s">
        <v>4</v>
      </c>
      <c r="B72" s="10" t="s">
        <v>56</v>
      </c>
      <c r="C72" s="10" t="s">
        <v>121</v>
      </c>
      <c r="D72" s="10" t="s">
        <v>232</v>
      </c>
      <c r="E72" s="15">
        <v>0</v>
      </c>
    </row>
    <row r="73" spans="1:5" ht="32.1" customHeight="1" x14ac:dyDescent="0.25">
      <c r="A73" s="10" t="s">
        <v>4</v>
      </c>
      <c r="B73" s="10" t="s">
        <v>56</v>
      </c>
      <c r="C73" s="10" t="s">
        <v>121</v>
      </c>
      <c r="D73" s="10" t="s">
        <v>233</v>
      </c>
      <c r="E73" s="15">
        <v>0</v>
      </c>
    </row>
    <row r="74" spans="1:5" ht="32.1" customHeight="1" x14ac:dyDescent="0.25">
      <c r="A74" s="10" t="s">
        <v>4</v>
      </c>
      <c r="B74" s="10" t="s">
        <v>56</v>
      </c>
      <c r="C74" s="10" t="s">
        <v>121</v>
      </c>
      <c r="D74" s="10" t="s">
        <v>234</v>
      </c>
      <c r="E74" s="15">
        <v>0</v>
      </c>
    </row>
    <row r="75" spans="1:5" ht="32.1" customHeight="1" x14ac:dyDescent="0.25">
      <c r="A75" s="10" t="s">
        <v>4</v>
      </c>
      <c r="B75" s="10" t="s">
        <v>56</v>
      </c>
      <c r="C75" s="10" t="s">
        <v>121</v>
      </c>
      <c r="D75" s="10" t="s">
        <v>235</v>
      </c>
      <c r="E75" s="15">
        <v>0</v>
      </c>
    </row>
    <row r="76" spans="1:5" ht="32.1" customHeight="1" x14ac:dyDescent="0.25">
      <c r="A76" s="10" t="s">
        <v>4</v>
      </c>
      <c r="B76" s="10" t="s">
        <v>56</v>
      </c>
      <c r="C76" s="10" t="s">
        <v>121</v>
      </c>
      <c r="D76" s="10" t="s">
        <v>236</v>
      </c>
      <c r="E76" s="15">
        <v>0</v>
      </c>
    </row>
    <row r="77" spans="1:5" ht="32.1" customHeight="1" x14ac:dyDescent="0.25">
      <c r="A77" s="10" t="s">
        <v>4</v>
      </c>
      <c r="B77" s="10" t="s">
        <v>56</v>
      </c>
      <c r="C77" s="10" t="s">
        <v>121</v>
      </c>
      <c r="D77" s="10" t="s">
        <v>237</v>
      </c>
      <c r="E77" s="15">
        <v>0</v>
      </c>
    </row>
    <row r="78" spans="1:5" ht="32.1" customHeight="1" x14ac:dyDescent="0.25">
      <c r="A78" s="10" t="s">
        <v>4</v>
      </c>
      <c r="B78" s="10" t="s">
        <v>56</v>
      </c>
      <c r="C78" s="10" t="s">
        <v>121</v>
      </c>
      <c r="D78" s="10" t="s">
        <v>241</v>
      </c>
      <c r="E78" s="15">
        <v>6.3648622657822784</v>
      </c>
    </row>
    <row r="79" spans="1:5" ht="32.1" customHeight="1" x14ac:dyDescent="0.25">
      <c r="A79" s="10" t="s">
        <v>4</v>
      </c>
      <c r="B79" s="10" t="s">
        <v>56</v>
      </c>
      <c r="C79" s="10" t="s">
        <v>121</v>
      </c>
      <c r="D79" s="10" t="s">
        <v>242</v>
      </c>
      <c r="E79" s="15">
        <v>0.66300648601898737</v>
      </c>
    </row>
    <row r="80" spans="1:5" ht="32.1" customHeight="1" x14ac:dyDescent="0.25">
      <c r="A80" s="10" t="s">
        <v>4</v>
      </c>
      <c r="B80" s="10" t="s">
        <v>56</v>
      </c>
      <c r="C80" s="10" t="s">
        <v>121</v>
      </c>
      <c r="D80" s="10" t="s">
        <v>243</v>
      </c>
      <c r="E80" s="15">
        <v>0.79999999999999993</v>
      </c>
    </row>
    <row r="81" spans="1:5" ht="32.1" customHeight="1" x14ac:dyDescent="0.25">
      <c r="A81" s="10" t="s">
        <v>4</v>
      </c>
      <c r="B81" s="10" t="s">
        <v>56</v>
      </c>
      <c r="C81" s="10" t="s">
        <v>58</v>
      </c>
      <c r="D81" s="10" t="s">
        <v>226</v>
      </c>
      <c r="E81" s="15">
        <v>0.51660000000000006</v>
      </c>
    </row>
    <row r="82" spans="1:5" ht="32.1" customHeight="1" x14ac:dyDescent="0.25">
      <c r="A82" s="10" t="s">
        <v>4</v>
      </c>
      <c r="B82" s="10" t="s">
        <v>56</v>
      </c>
      <c r="C82" s="10" t="s">
        <v>58</v>
      </c>
      <c r="D82" s="10" t="s">
        <v>227</v>
      </c>
      <c r="E82" s="15">
        <v>0.4427999999999998</v>
      </c>
    </row>
    <row r="83" spans="1:5" ht="32.1" customHeight="1" x14ac:dyDescent="0.25">
      <c r="A83" s="10" t="s">
        <v>4</v>
      </c>
      <c r="B83" s="10" t="s">
        <v>56</v>
      </c>
      <c r="C83" s="10" t="s">
        <v>58</v>
      </c>
      <c r="D83" s="10" t="s">
        <v>228</v>
      </c>
      <c r="E83" s="15">
        <v>0</v>
      </c>
    </row>
    <row r="84" spans="1:5" ht="32.1" customHeight="1" x14ac:dyDescent="0.25">
      <c r="A84" s="10" t="s">
        <v>4</v>
      </c>
      <c r="B84" s="10" t="s">
        <v>56</v>
      </c>
      <c r="C84" s="10" t="s">
        <v>58</v>
      </c>
      <c r="D84" s="10" t="s">
        <v>229</v>
      </c>
      <c r="E84" s="15">
        <v>0.18459999999999999</v>
      </c>
    </row>
    <row r="85" spans="1:5" ht="32.1" customHeight="1" x14ac:dyDescent="0.25">
      <c r="A85" s="10" t="s">
        <v>4</v>
      </c>
      <c r="B85" s="10" t="s">
        <v>56</v>
      </c>
      <c r="C85" s="10" t="s">
        <v>58</v>
      </c>
      <c r="D85" s="10" t="s">
        <v>230</v>
      </c>
      <c r="E85" s="15">
        <v>0</v>
      </c>
    </row>
    <row r="86" spans="1:5" ht="32.1" customHeight="1" x14ac:dyDescent="0.25">
      <c r="A86" s="10" t="s">
        <v>4</v>
      </c>
      <c r="B86" s="10" t="s">
        <v>56</v>
      </c>
      <c r="C86" s="10" t="s">
        <v>58</v>
      </c>
      <c r="D86" s="10" t="s">
        <v>231</v>
      </c>
      <c r="E86" s="15">
        <v>0</v>
      </c>
    </row>
    <row r="87" spans="1:5" ht="32.1" customHeight="1" x14ac:dyDescent="0.25">
      <c r="A87" s="10" t="s">
        <v>4</v>
      </c>
      <c r="B87" s="10" t="s">
        <v>56</v>
      </c>
      <c r="C87" s="10" t="s">
        <v>58</v>
      </c>
      <c r="D87" s="10" t="s">
        <v>232</v>
      </c>
      <c r="E87" s="15">
        <v>0</v>
      </c>
    </row>
    <row r="88" spans="1:5" ht="32.1" customHeight="1" x14ac:dyDescent="0.25">
      <c r="A88" s="10" t="s">
        <v>4</v>
      </c>
      <c r="B88" s="10" t="s">
        <v>56</v>
      </c>
      <c r="C88" s="10" t="s">
        <v>58</v>
      </c>
      <c r="D88" s="10" t="s">
        <v>233</v>
      </c>
      <c r="E88" s="15">
        <v>0</v>
      </c>
    </row>
    <row r="89" spans="1:5" ht="32.1" customHeight="1" x14ac:dyDescent="0.25">
      <c r="A89" s="10" t="s">
        <v>4</v>
      </c>
      <c r="B89" s="10" t="s">
        <v>56</v>
      </c>
      <c r="C89" s="10" t="s">
        <v>58</v>
      </c>
      <c r="D89" s="10" t="s">
        <v>234</v>
      </c>
      <c r="E89" s="15">
        <v>0</v>
      </c>
    </row>
    <row r="90" spans="1:5" ht="32.1" customHeight="1" x14ac:dyDescent="0.25">
      <c r="A90" s="10" t="s">
        <v>4</v>
      </c>
      <c r="B90" s="10" t="s">
        <v>56</v>
      </c>
      <c r="C90" s="10" t="s">
        <v>58</v>
      </c>
      <c r="D90" s="10" t="s">
        <v>235</v>
      </c>
      <c r="E90" s="15">
        <v>0</v>
      </c>
    </row>
    <row r="91" spans="1:5" ht="32.1" customHeight="1" x14ac:dyDescent="0.25">
      <c r="A91" s="10" t="s">
        <v>4</v>
      </c>
      <c r="B91" s="10" t="s">
        <v>56</v>
      </c>
      <c r="C91" s="10" t="s">
        <v>58</v>
      </c>
      <c r="D91" s="10" t="s">
        <v>236</v>
      </c>
      <c r="E91" s="15">
        <v>0</v>
      </c>
    </row>
    <row r="92" spans="1:5" ht="32.1" customHeight="1" x14ac:dyDescent="0.25">
      <c r="A92" s="10" t="s">
        <v>4</v>
      </c>
      <c r="B92" s="10" t="s">
        <v>56</v>
      </c>
      <c r="C92" s="10" t="s">
        <v>58</v>
      </c>
      <c r="D92" s="10" t="s">
        <v>237</v>
      </c>
      <c r="E92" s="15">
        <v>0</v>
      </c>
    </row>
    <row r="93" spans="1:5" ht="32.1" customHeight="1" x14ac:dyDescent="0.25">
      <c r="A93" s="10" t="s">
        <v>4</v>
      </c>
      <c r="B93" s="10" t="s">
        <v>56</v>
      </c>
      <c r="C93" s="10" t="s">
        <v>58</v>
      </c>
      <c r="D93" s="10" t="s">
        <v>241</v>
      </c>
      <c r="E93" s="15">
        <v>6.3648622657822784</v>
      </c>
    </row>
    <row r="94" spans="1:5" ht="32.1" customHeight="1" x14ac:dyDescent="0.25">
      <c r="A94" s="10" t="s">
        <v>4</v>
      </c>
      <c r="B94" s="10" t="s">
        <v>56</v>
      </c>
      <c r="C94" s="10" t="s">
        <v>58</v>
      </c>
      <c r="D94" s="10" t="s">
        <v>242</v>
      </c>
      <c r="E94" s="15">
        <v>0.66300648601898737</v>
      </c>
    </row>
    <row r="95" spans="1:5" ht="32.1" customHeight="1" x14ac:dyDescent="0.25">
      <c r="A95" s="10" t="s">
        <v>4</v>
      </c>
      <c r="B95" s="10" t="s">
        <v>56</v>
      </c>
      <c r="C95" s="10" t="s">
        <v>58</v>
      </c>
      <c r="D95" s="10" t="s">
        <v>243</v>
      </c>
      <c r="E95" s="15">
        <v>0.79999999999999993</v>
      </c>
    </row>
    <row r="96" spans="1:5" ht="32.1" customHeight="1" x14ac:dyDescent="0.25">
      <c r="A96" s="10" t="s">
        <v>77</v>
      </c>
      <c r="B96" s="10" t="s">
        <v>56</v>
      </c>
      <c r="C96" s="10" t="s">
        <v>94</v>
      </c>
      <c r="D96" s="10" t="s">
        <v>226</v>
      </c>
      <c r="E96" s="15">
        <v>5.1659999999999986</v>
      </c>
    </row>
    <row r="97" spans="1:5" ht="32.1" customHeight="1" x14ac:dyDescent="0.25">
      <c r="A97" s="10" t="s">
        <v>77</v>
      </c>
      <c r="B97" s="10" t="s">
        <v>56</v>
      </c>
      <c r="C97" s="10" t="s">
        <v>94</v>
      </c>
      <c r="D97" s="10" t="s">
        <v>227</v>
      </c>
      <c r="E97" s="15">
        <v>4.4280000000000008</v>
      </c>
    </row>
    <row r="98" spans="1:5" ht="32.1" customHeight="1" x14ac:dyDescent="0.25">
      <c r="A98" s="10" t="s">
        <v>77</v>
      </c>
      <c r="B98" s="10" t="s">
        <v>56</v>
      </c>
      <c r="C98" s="10" t="s">
        <v>94</v>
      </c>
      <c r="D98" s="10" t="s">
        <v>228</v>
      </c>
      <c r="E98" s="15">
        <v>0</v>
      </c>
    </row>
    <row r="99" spans="1:5" ht="32.1" customHeight="1" x14ac:dyDescent="0.25">
      <c r="A99" s="10" t="s">
        <v>77</v>
      </c>
      <c r="B99" s="10" t="s">
        <v>56</v>
      </c>
      <c r="C99" s="10" t="s">
        <v>94</v>
      </c>
      <c r="D99" s="10" t="s">
        <v>229</v>
      </c>
      <c r="E99" s="15">
        <v>0.18459999999999999</v>
      </c>
    </row>
    <row r="100" spans="1:5" ht="32.1" customHeight="1" x14ac:dyDescent="0.25">
      <c r="A100" s="10" t="s">
        <v>77</v>
      </c>
      <c r="B100" s="10" t="s">
        <v>56</v>
      </c>
      <c r="C100" s="10" t="s">
        <v>94</v>
      </c>
      <c r="D100" s="10" t="s">
        <v>230</v>
      </c>
      <c r="E100" s="15">
        <v>0</v>
      </c>
    </row>
    <row r="101" spans="1:5" ht="32.1" customHeight="1" x14ac:dyDescent="0.25">
      <c r="A101" s="10" t="s">
        <v>77</v>
      </c>
      <c r="B101" s="10" t="s">
        <v>56</v>
      </c>
      <c r="C101" s="10" t="s">
        <v>94</v>
      </c>
      <c r="D101" s="10" t="s">
        <v>231</v>
      </c>
      <c r="E101" s="15">
        <v>0</v>
      </c>
    </row>
    <row r="102" spans="1:5" ht="32.1" customHeight="1" x14ac:dyDescent="0.25">
      <c r="A102" s="10" t="s">
        <v>77</v>
      </c>
      <c r="B102" s="10" t="s">
        <v>56</v>
      </c>
      <c r="C102" s="10" t="s">
        <v>94</v>
      </c>
      <c r="D102" s="10" t="s">
        <v>232</v>
      </c>
      <c r="E102" s="15">
        <v>0</v>
      </c>
    </row>
    <row r="103" spans="1:5" ht="32.1" customHeight="1" x14ac:dyDescent="0.25">
      <c r="A103" s="10" t="s">
        <v>77</v>
      </c>
      <c r="B103" s="10" t="s">
        <v>56</v>
      </c>
      <c r="C103" s="10" t="s">
        <v>94</v>
      </c>
      <c r="D103" s="10" t="s">
        <v>233</v>
      </c>
      <c r="E103" s="15">
        <v>0</v>
      </c>
    </row>
    <row r="104" spans="1:5" ht="32.1" customHeight="1" x14ac:dyDescent="0.25">
      <c r="A104" s="10" t="s">
        <v>77</v>
      </c>
      <c r="B104" s="10" t="s">
        <v>56</v>
      </c>
      <c r="C104" s="10" t="s">
        <v>94</v>
      </c>
      <c r="D104" s="10" t="s">
        <v>234</v>
      </c>
      <c r="E104" s="15">
        <v>0</v>
      </c>
    </row>
    <row r="105" spans="1:5" ht="32.1" customHeight="1" x14ac:dyDescent="0.25">
      <c r="A105" s="10" t="s">
        <v>77</v>
      </c>
      <c r="B105" s="10" t="s">
        <v>56</v>
      </c>
      <c r="C105" s="10" t="s">
        <v>94</v>
      </c>
      <c r="D105" s="10" t="s">
        <v>235</v>
      </c>
      <c r="E105" s="15">
        <v>0</v>
      </c>
    </row>
    <row r="106" spans="1:5" ht="32.1" customHeight="1" x14ac:dyDescent="0.25">
      <c r="A106" s="10" t="s">
        <v>77</v>
      </c>
      <c r="B106" s="10" t="s">
        <v>56</v>
      </c>
      <c r="C106" s="10" t="s">
        <v>94</v>
      </c>
      <c r="D106" s="10" t="s">
        <v>236</v>
      </c>
      <c r="E106" s="15">
        <v>0</v>
      </c>
    </row>
    <row r="107" spans="1:5" ht="32.1" customHeight="1" x14ac:dyDescent="0.25">
      <c r="A107" s="10" t="s">
        <v>77</v>
      </c>
      <c r="B107" s="10" t="s">
        <v>56</v>
      </c>
      <c r="C107" s="10" t="s">
        <v>94</v>
      </c>
      <c r="D107" s="10" t="s">
        <v>237</v>
      </c>
      <c r="E107" s="15">
        <v>0</v>
      </c>
    </row>
    <row r="108" spans="1:5" ht="32.1" customHeight="1" x14ac:dyDescent="0.25">
      <c r="A108" s="10" t="s">
        <v>77</v>
      </c>
      <c r="B108" s="10" t="s">
        <v>56</v>
      </c>
      <c r="C108" s="10" t="s">
        <v>94</v>
      </c>
      <c r="D108" s="10" t="s">
        <v>238</v>
      </c>
      <c r="E108" s="15">
        <v>60.346282199999997</v>
      </c>
    </row>
    <row r="109" spans="1:5" ht="32.1" customHeight="1" x14ac:dyDescent="0.25">
      <c r="A109" s="10" t="s">
        <v>77</v>
      </c>
      <c r="B109" s="10" t="s">
        <v>56</v>
      </c>
      <c r="C109" s="10" t="s">
        <v>94</v>
      </c>
      <c r="D109" s="10" t="s">
        <v>239</v>
      </c>
      <c r="E109" s="15">
        <v>0.43999999999999989</v>
      </c>
    </row>
    <row r="110" spans="1:5" ht="32.1" customHeight="1" x14ac:dyDescent="0.25">
      <c r="A110" s="10" t="s">
        <v>77</v>
      </c>
      <c r="B110" s="10" t="s">
        <v>56</v>
      </c>
      <c r="C110" s="10" t="s">
        <v>94</v>
      </c>
      <c r="D110" s="10" t="s">
        <v>240</v>
      </c>
      <c r="E110" s="15">
        <v>0</v>
      </c>
    </row>
    <row r="111" spans="1:5" ht="32.1" customHeight="1" x14ac:dyDescent="0.25">
      <c r="A111" s="10" t="s">
        <v>77</v>
      </c>
      <c r="B111" s="10" t="s">
        <v>56</v>
      </c>
      <c r="C111" s="10" t="s">
        <v>121</v>
      </c>
      <c r="D111" s="10" t="s">
        <v>226</v>
      </c>
      <c r="E111" s="15">
        <v>5.1659999999999986</v>
      </c>
    </row>
    <row r="112" spans="1:5" ht="32.1" customHeight="1" x14ac:dyDescent="0.25">
      <c r="A112" s="10" t="s">
        <v>77</v>
      </c>
      <c r="B112" s="10" t="s">
        <v>56</v>
      </c>
      <c r="C112" s="10" t="s">
        <v>121</v>
      </c>
      <c r="D112" s="10" t="s">
        <v>227</v>
      </c>
      <c r="E112" s="15">
        <v>4.4280000000000008</v>
      </c>
    </row>
    <row r="113" spans="1:5" ht="32.1" customHeight="1" x14ac:dyDescent="0.25">
      <c r="A113" s="10" t="s">
        <v>77</v>
      </c>
      <c r="B113" s="10" t="s">
        <v>56</v>
      </c>
      <c r="C113" s="10" t="s">
        <v>121</v>
      </c>
      <c r="D113" s="10" t="s">
        <v>228</v>
      </c>
      <c r="E113" s="15">
        <v>0</v>
      </c>
    </row>
    <row r="114" spans="1:5" ht="32.1" customHeight="1" x14ac:dyDescent="0.25">
      <c r="A114" s="10" t="s">
        <v>77</v>
      </c>
      <c r="B114" s="10" t="s">
        <v>56</v>
      </c>
      <c r="C114" s="10" t="s">
        <v>121</v>
      </c>
      <c r="D114" s="10" t="s">
        <v>229</v>
      </c>
      <c r="E114" s="15">
        <v>0.18459999999999999</v>
      </c>
    </row>
    <row r="115" spans="1:5" ht="32.1" customHeight="1" x14ac:dyDescent="0.25">
      <c r="A115" s="10" t="s">
        <v>77</v>
      </c>
      <c r="B115" s="10" t="s">
        <v>56</v>
      </c>
      <c r="C115" s="10" t="s">
        <v>121</v>
      </c>
      <c r="D115" s="10" t="s">
        <v>230</v>
      </c>
      <c r="E115" s="15">
        <v>0</v>
      </c>
    </row>
    <row r="116" spans="1:5" ht="32.1" customHeight="1" x14ac:dyDescent="0.25">
      <c r="A116" s="10" t="s">
        <v>77</v>
      </c>
      <c r="B116" s="10" t="s">
        <v>56</v>
      </c>
      <c r="C116" s="10" t="s">
        <v>121</v>
      </c>
      <c r="D116" s="10" t="s">
        <v>231</v>
      </c>
      <c r="E116" s="15">
        <v>0</v>
      </c>
    </row>
    <row r="117" spans="1:5" ht="32.1" customHeight="1" x14ac:dyDescent="0.25">
      <c r="A117" s="10" t="s">
        <v>77</v>
      </c>
      <c r="B117" s="10" t="s">
        <v>56</v>
      </c>
      <c r="C117" s="10" t="s">
        <v>121</v>
      </c>
      <c r="D117" s="10" t="s">
        <v>232</v>
      </c>
      <c r="E117" s="15">
        <v>0</v>
      </c>
    </row>
    <row r="118" spans="1:5" ht="32.1" customHeight="1" x14ac:dyDescent="0.25">
      <c r="A118" s="10" t="s">
        <v>77</v>
      </c>
      <c r="B118" s="10" t="s">
        <v>56</v>
      </c>
      <c r="C118" s="10" t="s">
        <v>121</v>
      </c>
      <c r="D118" s="10" t="s">
        <v>233</v>
      </c>
      <c r="E118" s="15">
        <v>0</v>
      </c>
    </row>
    <row r="119" spans="1:5" ht="32.1" customHeight="1" x14ac:dyDescent="0.25">
      <c r="A119" s="10" t="s">
        <v>77</v>
      </c>
      <c r="B119" s="10" t="s">
        <v>56</v>
      </c>
      <c r="C119" s="10" t="s">
        <v>121</v>
      </c>
      <c r="D119" s="10" t="s">
        <v>234</v>
      </c>
      <c r="E119" s="15">
        <v>0</v>
      </c>
    </row>
    <row r="120" spans="1:5" ht="32.1" customHeight="1" x14ac:dyDescent="0.25">
      <c r="A120" s="10" t="s">
        <v>77</v>
      </c>
      <c r="B120" s="10" t="s">
        <v>56</v>
      </c>
      <c r="C120" s="10" t="s">
        <v>121</v>
      </c>
      <c r="D120" s="10" t="s">
        <v>235</v>
      </c>
      <c r="E120" s="15">
        <v>0</v>
      </c>
    </row>
    <row r="121" spans="1:5" ht="32.1" customHeight="1" x14ac:dyDescent="0.25">
      <c r="A121" s="10" t="s">
        <v>77</v>
      </c>
      <c r="B121" s="10" t="s">
        <v>56</v>
      </c>
      <c r="C121" s="10" t="s">
        <v>121</v>
      </c>
      <c r="D121" s="10" t="s">
        <v>236</v>
      </c>
      <c r="E121" s="15">
        <v>0</v>
      </c>
    </row>
    <row r="122" spans="1:5" ht="32.1" customHeight="1" x14ac:dyDescent="0.25">
      <c r="A122" s="10" t="s">
        <v>77</v>
      </c>
      <c r="B122" s="10" t="s">
        <v>56</v>
      </c>
      <c r="C122" s="10" t="s">
        <v>121</v>
      </c>
      <c r="D122" s="10" t="s">
        <v>237</v>
      </c>
      <c r="E122" s="15">
        <v>0</v>
      </c>
    </row>
    <row r="123" spans="1:5" ht="32.1" customHeight="1" x14ac:dyDescent="0.25">
      <c r="A123" s="10" t="s">
        <v>77</v>
      </c>
      <c r="B123" s="10" t="s">
        <v>56</v>
      </c>
      <c r="C123" s="10" t="s">
        <v>121</v>
      </c>
      <c r="D123" s="10" t="s">
        <v>241</v>
      </c>
      <c r="E123" s="15">
        <v>43.8839587411873</v>
      </c>
    </row>
    <row r="124" spans="1:5" ht="32.1" customHeight="1" x14ac:dyDescent="0.25">
      <c r="A124" s="10" t="s">
        <v>77</v>
      </c>
      <c r="B124" s="10" t="s">
        <v>56</v>
      </c>
      <c r="C124" s="10" t="s">
        <v>121</v>
      </c>
      <c r="D124" s="10" t="s">
        <v>242</v>
      </c>
      <c r="E124" s="15">
        <v>4.571245702207011</v>
      </c>
    </row>
    <row r="125" spans="1:5" ht="32.1" customHeight="1" x14ac:dyDescent="0.25">
      <c r="A125" s="10" t="s">
        <v>77</v>
      </c>
      <c r="B125" s="10" t="s">
        <v>56</v>
      </c>
      <c r="C125" s="10" t="s">
        <v>121</v>
      </c>
      <c r="D125" s="10" t="s">
        <v>243</v>
      </c>
      <c r="E125" s="15">
        <v>8</v>
      </c>
    </row>
    <row r="126" spans="1:5" ht="32.1" customHeight="1" x14ac:dyDescent="0.25">
      <c r="A126" s="10" t="s">
        <v>77</v>
      </c>
      <c r="B126" s="10" t="s">
        <v>56</v>
      </c>
      <c r="C126" s="10" t="s">
        <v>58</v>
      </c>
      <c r="D126" s="10" t="s">
        <v>226</v>
      </c>
      <c r="E126" s="15">
        <v>5.1659999999999986</v>
      </c>
    </row>
    <row r="127" spans="1:5" ht="32.1" customHeight="1" x14ac:dyDescent="0.25">
      <c r="A127" s="10" t="s">
        <v>77</v>
      </c>
      <c r="B127" s="10" t="s">
        <v>56</v>
      </c>
      <c r="C127" s="10" t="s">
        <v>58</v>
      </c>
      <c r="D127" s="10" t="s">
        <v>227</v>
      </c>
      <c r="E127" s="15">
        <v>4.4280000000000008</v>
      </c>
    </row>
    <row r="128" spans="1:5" ht="32.1" customHeight="1" x14ac:dyDescent="0.25">
      <c r="A128" s="10" t="s">
        <v>77</v>
      </c>
      <c r="B128" s="10" t="s">
        <v>56</v>
      </c>
      <c r="C128" s="10" t="s">
        <v>58</v>
      </c>
      <c r="D128" s="10" t="s">
        <v>228</v>
      </c>
      <c r="E128" s="15">
        <v>0</v>
      </c>
    </row>
    <row r="129" spans="1:5" ht="32.1" customHeight="1" x14ac:dyDescent="0.25">
      <c r="A129" s="10" t="s">
        <v>77</v>
      </c>
      <c r="B129" s="10" t="s">
        <v>56</v>
      </c>
      <c r="C129" s="10" t="s">
        <v>58</v>
      </c>
      <c r="D129" s="10" t="s">
        <v>229</v>
      </c>
      <c r="E129" s="15">
        <v>0.18459999999999999</v>
      </c>
    </row>
    <row r="130" spans="1:5" ht="32.1" customHeight="1" x14ac:dyDescent="0.25">
      <c r="A130" s="10" t="s">
        <v>77</v>
      </c>
      <c r="B130" s="10" t="s">
        <v>56</v>
      </c>
      <c r="C130" s="10" t="s">
        <v>58</v>
      </c>
      <c r="D130" s="10" t="s">
        <v>230</v>
      </c>
      <c r="E130" s="15">
        <v>0</v>
      </c>
    </row>
    <row r="131" spans="1:5" ht="32.1" customHeight="1" x14ac:dyDescent="0.25">
      <c r="A131" s="10" t="s">
        <v>77</v>
      </c>
      <c r="B131" s="10" t="s">
        <v>56</v>
      </c>
      <c r="C131" s="10" t="s">
        <v>58</v>
      </c>
      <c r="D131" s="10" t="s">
        <v>231</v>
      </c>
      <c r="E131" s="15">
        <v>0</v>
      </c>
    </row>
    <row r="132" spans="1:5" ht="32.1" customHeight="1" x14ac:dyDescent="0.25">
      <c r="A132" s="10" t="s">
        <v>77</v>
      </c>
      <c r="B132" s="10" t="s">
        <v>56</v>
      </c>
      <c r="C132" s="10" t="s">
        <v>58</v>
      </c>
      <c r="D132" s="10" t="s">
        <v>232</v>
      </c>
      <c r="E132" s="15">
        <v>0</v>
      </c>
    </row>
    <row r="133" spans="1:5" ht="32.1" customHeight="1" x14ac:dyDescent="0.25">
      <c r="A133" s="10" t="s">
        <v>77</v>
      </c>
      <c r="B133" s="10" t="s">
        <v>56</v>
      </c>
      <c r="C133" s="10" t="s">
        <v>58</v>
      </c>
      <c r="D133" s="10" t="s">
        <v>233</v>
      </c>
      <c r="E133" s="15">
        <v>0</v>
      </c>
    </row>
    <row r="134" spans="1:5" ht="32.1" customHeight="1" x14ac:dyDescent="0.25">
      <c r="A134" s="10" t="s">
        <v>77</v>
      </c>
      <c r="B134" s="10" t="s">
        <v>56</v>
      </c>
      <c r="C134" s="10" t="s">
        <v>58</v>
      </c>
      <c r="D134" s="10" t="s">
        <v>234</v>
      </c>
      <c r="E134" s="15">
        <v>0</v>
      </c>
    </row>
    <row r="135" spans="1:5" ht="32.1" customHeight="1" x14ac:dyDescent="0.25">
      <c r="A135" s="10" t="s">
        <v>77</v>
      </c>
      <c r="B135" s="10" t="s">
        <v>56</v>
      </c>
      <c r="C135" s="10" t="s">
        <v>58</v>
      </c>
      <c r="D135" s="10" t="s">
        <v>235</v>
      </c>
      <c r="E135" s="15">
        <v>0</v>
      </c>
    </row>
    <row r="136" spans="1:5" ht="32.1" customHeight="1" x14ac:dyDescent="0.25">
      <c r="A136" s="10" t="s">
        <v>77</v>
      </c>
      <c r="B136" s="10" t="s">
        <v>56</v>
      </c>
      <c r="C136" s="10" t="s">
        <v>58</v>
      </c>
      <c r="D136" s="10" t="s">
        <v>236</v>
      </c>
      <c r="E136" s="15">
        <v>0</v>
      </c>
    </row>
    <row r="137" spans="1:5" ht="32.1" customHeight="1" x14ac:dyDescent="0.25">
      <c r="A137" s="10" t="s">
        <v>77</v>
      </c>
      <c r="B137" s="10" t="s">
        <v>56</v>
      </c>
      <c r="C137" s="10" t="s">
        <v>58</v>
      </c>
      <c r="D137" s="10" t="s">
        <v>237</v>
      </c>
      <c r="E137" s="15">
        <v>0</v>
      </c>
    </row>
    <row r="138" spans="1:5" ht="32.1" customHeight="1" x14ac:dyDescent="0.25">
      <c r="A138" s="10" t="s">
        <v>77</v>
      </c>
      <c r="B138" s="10" t="s">
        <v>56</v>
      </c>
      <c r="C138" s="10" t="s">
        <v>58</v>
      </c>
      <c r="D138" s="10" t="s">
        <v>241</v>
      </c>
      <c r="E138" s="15">
        <v>43.8839587411873</v>
      </c>
    </row>
    <row r="139" spans="1:5" ht="32.1" customHeight="1" x14ac:dyDescent="0.25">
      <c r="A139" s="10" t="s">
        <v>77</v>
      </c>
      <c r="B139" s="10" t="s">
        <v>56</v>
      </c>
      <c r="C139" s="10" t="s">
        <v>58</v>
      </c>
      <c r="D139" s="10" t="s">
        <v>242</v>
      </c>
      <c r="E139" s="15">
        <v>4.571245702207011</v>
      </c>
    </row>
    <row r="140" spans="1:5" ht="32.1" customHeight="1" x14ac:dyDescent="0.25">
      <c r="A140" s="10" t="s">
        <v>77</v>
      </c>
      <c r="B140" s="10" t="s">
        <v>56</v>
      </c>
      <c r="C140" s="10" t="s">
        <v>58</v>
      </c>
      <c r="D140" s="10" t="s">
        <v>243</v>
      </c>
      <c r="E140" s="15">
        <v>8</v>
      </c>
    </row>
  </sheetData>
  <mergeCells count="3">
    <mergeCell ref="A3:H3"/>
    <mergeCell ref="A2:H2"/>
    <mergeCell ref="A1:H1"/>
  </mergeCells>
  <pageMargins left="0.75" right="0.75" top="1" bottom="1" header="0.5" footer="0.5"/>
  <pageSetup paperSize="8" fitToHeight="0" orientation="landscape"/>
  <headerFooter>
    <oddFooter>&amp;CDEMO | &amp;A | &amp;P / &amp;N</oddFooter>
  </headerFooter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A14"/>
  <sheetViews>
    <sheetView showGridLines="0"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3" width="26" customWidth="1"/>
    <col min="4" max="8" width="21" customWidth="1"/>
    <col min="9" max="9" width="26" customWidth="1"/>
    <col min="10" max="11" width="21" customWidth="1"/>
    <col min="12" max="13" width="26" customWidth="1"/>
    <col min="14" max="17" width="18" customWidth="1"/>
  </cols>
  <sheetData>
    <row r="1" spans="1:27" ht="33.950000000000003" customHeight="1" x14ac:dyDescent="0.25">
      <c r="A1" s="25" t="s">
        <v>244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7" t="s">
        <v>245</v>
      </c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</row>
    <row r="2" spans="1:27" ht="30" customHeight="1" x14ac:dyDescent="0.25">
      <c r="A2" s="21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1" t="s">
        <v>1</v>
      </c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</row>
    <row r="3" spans="1:27" ht="30" customHeight="1" x14ac:dyDescent="0.25">
      <c r="A3" s="26" t="s">
        <v>246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6" t="s">
        <v>247</v>
      </c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</row>
    <row r="5" spans="1:27" ht="36" customHeight="1" x14ac:dyDescent="0.25">
      <c r="A5" s="2" t="s">
        <v>223</v>
      </c>
      <c r="B5" s="2" t="s">
        <v>24</v>
      </c>
      <c r="C5" s="2" t="s">
        <v>248</v>
      </c>
      <c r="D5" s="2" t="s">
        <v>249</v>
      </c>
      <c r="E5" s="2" t="s">
        <v>250</v>
      </c>
      <c r="F5" s="2" t="s">
        <v>251</v>
      </c>
      <c r="G5" s="2" t="s">
        <v>252</v>
      </c>
      <c r="H5" s="2" t="s">
        <v>253</v>
      </c>
      <c r="I5" s="2" t="s">
        <v>254</v>
      </c>
      <c r="J5" s="2" t="s">
        <v>255</v>
      </c>
      <c r="K5" s="2" t="s">
        <v>256</v>
      </c>
      <c r="L5" s="2" t="s">
        <v>257</v>
      </c>
      <c r="M5" s="2" t="s">
        <v>258</v>
      </c>
      <c r="N5" t="s">
        <v>6</v>
      </c>
      <c r="O5" t="s">
        <v>259</v>
      </c>
      <c r="P5" t="s">
        <v>260</v>
      </c>
      <c r="Q5" t="s">
        <v>261</v>
      </c>
    </row>
    <row r="6" spans="1:27" ht="32.1" customHeight="1" x14ac:dyDescent="0.25">
      <c r="A6" s="10" t="s">
        <v>83</v>
      </c>
      <c r="B6" s="10" t="s">
        <v>94</v>
      </c>
      <c r="C6" s="11">
        <v>100000</v>
      </c>
      <c r="D6" s="15">
        <v>61.018852199999998</v>
      </c>
      <c r="E6" s="15">
        <v>60.346282199999997</v>
      </c>
      <c r="F6" s="15">
        <v>0.23257</v>
      </c>
      <c r="G6" s="15">
        <v>60.786282200000002</v>
      </c>
      <c r="H6" s="15">
        <v>610.18852200000003</v>
      </c>
      <c r="I6" s="10" t="s">
        <v>262</v>
      </c>
      <c r="J6" s="16">
        <f>SUMIFS('Cost Breakdown'!$E$6:$E$140,'Cost Breakdown'!$A$6:$A$140,A6,'Cost Breakdown'!$C$6:$C$140,B6)</f>
        <v>61.018852199999998</v>
      </c>
      <c r="K6" s="17">
        <f t="shared" ref="K6:K14" si="0">J6-D6</f>
        <v>0</v>
      </c>
      <c r="L6" s="13" t="str">
        <f t="shared" ref="L6:L14" si="1">IF(ABS(K6)&lt;0.000001,"OK","CHECK")</f>
        <v>OK</v>
      </c>
      <c r="M6" s="13" t="str">
        <f t="shared" ref="M6:M14" si="2">A6&amp;"|"&amp;B6</f>
        <v>low|iaas</v>
      </c>
      <c r="N6" t="s">
        <v>15</v>
      </c>
      <c r="O6" s="18">
        <f>SUMIFS($J$6:$J$14,$A$6:$A$14,"low",$B$6:$B$14,LOWER(N6))</f>
        <v>61.018852199999998</v>
      </c>
      <c r="P6" s="18">
        <f>SUMIFS($J$6:$J$14,$A$6:$A$14,"medium",$B$6:$B$14,LOWER(N6))</f>
        <v>61.930282199999994</v>
      </c>
      <c r="Q6" s="18">
        <f>SUMIFS($J$6:$J$14,$A$6:$A$14,"high",$B$6:$B$14,LOWER(N6))</f>
        <v>70.5648822</v>
      </c>
    </row>
    <row r="7" spans="1:27" ht="32.1" customHeight="1" x14ac:dyDescent="0.25">
      <c r="A7" s="10" t="s">
        <v>83</v>
      </c>
      <c r="B7" s="10" t="s">
        <v>121</v>
      </c>
      <c r="C7" s="11">
        <v>100000</v>
      </c>
      <c r="D7" s="15">
        <v>0.64437697387050275</v>
      </c>
      <c r="E7" s="15">
        <v>0.37180697387050271</v>
      </c>
      <c r="F7" s="15">
        <v>0.23257</v>
      </c>
      <c r="G7" s="15">
        <v>0.41180697387050269</v>
      </c>
      <c r="H7" s="15">
        <v>6.4437697387050283</v>
      </c>
      <c r="I7" s="10" t="s">
        <v>263</v>
      </c>
      <c r="J7" s="16">
        <f>SUMIFS('Cost Breakdown'!$E$6:$E$140,'Cost Breakdown'!$A$6:$A$140,A7,'Cost Breakdown'!$C$6:$C$140,B7)</f>
        <v>0.64437697387050263</v>
      </c>
      <c r="K7" s="17">
        <f t="shared" si="0"/>
        <v>0</v>
      </c>
      <c r="L7" s="13" t="str">
        <f t="shared" si="1"/>
        <v>OK</v>
      </c>
      <c r="M7" s="13" t="str">
        <f t="shared" si="2"/>
        <v>low|paas</v>
      </c>
      <c r="N7" t="s">
        <v>16</v>
      </c>
      <c r="O7" s="18">
        <f>SUMIFS($J$6:$J$14,$A$6:$A$14,"low",$B$6:$B$14,LOWER(N7))</f>
        <v>0.64437697387050263</v>
      </c>
      <c r="P7" s="18">
        <f>SUMIFS($J$6:$J$14,$A$6:$A$14,"medium",$B$6:$B$14,LOWER(N7))</f>
        <v>8.9718687518012672</v>
      </c>
      <c r="Q7" s="18">
        <f>SUMIFS($J$6:$J$14,$A$6:$A$14,"high",$B$6:$B$14,LOWER(N7))</f>
        <v>66.233804443394305</v>
      </c>
    </row>
    <row r="8" spans="1:27" ht="32.1" customHeight="1" x14ac:dyDescent="0.25">
      <c r="A8" s="10" t="s">
        <v>83</v>
      </c>
      <c r="B8" s="10" t="s">
        <v>58</v>
      </c>
      <c r="C8" s="11">
        <v>100000</v>
      </c>
      <c r="D8" s="15">
        <v>0.64437697387050275</v>
      </c>
      <c r="E8" s="15">
        <v>0.37180697387050271</v>
      </c>
      <c r="F8" s="15">
        <v>0.23257</v>
      </c>
      <c r="G8" s="15">
        <v>0.41180697387050269</v>
      </c>
      <c r="H8" s="15">
        <v>6.4437697387050283</v>
      </c>
      <c r="I8" s="10" t="s">
        <v>263</v>
      </c>
      <c r="J8" s="16">
        <f>SUMIFS('Cost Breakdown'!$E$6:$E$140,'Cost Breakdown'!$A$6:$A$140,A8,'Cost Breakdown'!$C$6:$C$140,B8)</f>
        <v>0.64437697387050263</v>
      </c>
      <c r="K8" s="17">
        <f t="shared" si="0"/>
        <v>0</v>
      </c>
      <c r="L8" s="13" t="str">
        <f t="shared" si="1"/>
        <v>OK</v>
      </c>
      <c r="M8" s="13" t="str">
        <f t="shared" si="2"/>
        <v>low|faas</v>
      </c>
      <c r="N8" t="s">
        <v>17</v>
      </c>
      <c r="O8" s="18">
        <f>SUMIFS($J$6:$J$14,$A$6:$A$14,"low",$B$6:$B$14,LOWER(N8))</f>
        <v>0.64437697387050263</v>
      </c>
      <c r="P8" s="18">
        <f>SUMIFS($J$6:$J$14,$A$6:$A$14,"medium",$B$6:$B$14,LOWER(N8))</f>
        <v>8.9718687518012672</v>
      </c>
      <c r="Q8" s="18">
        <f>SUMIFS($J$6:$J$14,$A$6:$A$14,"high",$B$6:$B$14,LOWER(N8))</f>
        <v>66.233804443394305</v>
      </c>
    </row>
    <row r="9" spans="1:27" ht="32.1" customHeight="1" x14ac:dyDescent="0.25">
      <c r="A9" s="10" t="s">
        <v>4</v>
      </c>
      <c r="B9" s="10" t="s">
        <v>94</v>
      </c>
      <c r="C9" s="11">
        <v>2000000</v>
      </c>
      <c r="D9" s="15">
        <v>61.930282200000001</v>
      </c>
      <c r="E9" s="15">
        <v>60.346282199999997</v>
      </c>
      <c r="F9" s="15">
        <v>1.1439999999999999</v>
      </c>
      <c r="G9" s="15">
        <v>60.786282200000002</v>
      </c>
      <c r="H9" s="15">
        <v>30.9651411</v>
      </c>
      <c r="I9" s="10" t="s">
        <v>262</v>
      </c>
      <c r="J9" s="16">
        <f>SUMIFS('Cost Breakdown'!$E$6:$E$140,'Cost Breakdown'!$A$6:$A$140,A9,'Cost Breakdown'!$C$6:$C$140,B9)</f>
        <v>61.930282199999994</v>
      </c>
      <c r="K9" s="17">
        <f t="shared" si="0"/>
        <v>0</v>
      </c>
      <c r="L9" s="13" t="str">
        <f t="shared" si="1"/>
        <v>OK</v>
      </c>
      <c r="M9" s="13" t="str">
        <f t="shared" si="2"/>
        <v>medium|iaas</v>
      </c>
    </row>
    <row r="10" spans="1:27" ht="32.1" customHeight="1" x14ac:dyDescent="0.25">
      <c r="A10" s="10" t="s">
        <v>4</v>
      </c>
      <c r="B10" s="10" t="s">
        <v>121</v>
      </c>
      <c r="C10" s="11">
        <v>2000000</v>
      </c>
      <c r="D10" s="15">
        <v>8.9718687518012654</v>
      </c>
      <c r="E10" s="15">
        <v>7.0278687518012646</v>
      </c>
      <c r="F10" s="15">
        <v>1.1439999999999999</v>
      </c>
      <c r="G10" s="15">
        <v>7.8278687518012653</v>
      </c>
      <c r="H10" s="15">
        <v>4.4859343759006327</v>
      </c>
      <c r="I10" s="10" t="s">
        <v>263</v>
      </c>
      <c r="J10" s="16">
        <f>SUMIFS('Cost Breakdown'!$E$6:$E$140,'Cost Breakdown'!$A$6:$A$140,A10,'Cost Breakdown'!$C$6:$C$140,B10)</f>
        <v>8.9718687518012672</v>
      </c>
      <c r="K10" s="17">
        <f t="shared" si="0"/>
        <v>0</v>
      </c>
      <c r="L10" s="13" t="str">
        <f t="shared" si="1"/>
        <v>OK</v>
      </c>
      <c r="M10" s="13" t="str">
        <f t="shared" si="2"/>
        <v>medium|paas</v>
      </c>
    </row>
    <row r="11" spans="1:27" ht="32.1" customHeight="1" x14ac:dyDescent="0.25">
      <c r="A11" s="10" t="s">
        <v>4</v>
      </c>
      <c r="B11" s="10" t="s">
        <v>58</v>
      </c>
      <c r="C11" s="11">
        <v>2000000</v>
      </c>
      <c r="D11" s="15">
        <v>8.9718687518012654</v>
      </c>
      <c r="E11" s="15">
        <v>7.0278687518012646</v>
      </c>
      <c r="F11" s="15">
        <v>1.1439999999999999</v>
      </c>
      <c r="G11" s="15">
        <v>7.8278687518012653</v>
      </c>
      <c r="H11" s="15">
        <v>4.4859343759006327</v>
      </c>
      <c r="I11" s="10" t="s">
        <v>263</v>
      </c>
      <c r="J11" s="16">
        <f>SUMIFS('Cost Breakdown'!$E$6:$E$140,'Cost Breakdown'!$A$6:$A$140,A11,'Cost Breakdown'!$C$6:$C$140,B11)</f>
        <v>8.9718687518012672</v>
      </c>
      <c r="K11" s="17">
        <f t="shared" si="0"/>
        <v>0</v>
      </c>
      <c r="L11" s="13" t="str">
        <f t="shared" si="1"/>
        <v>OK</v>
      </c>
      <c r="M11" s="13" t="str">
        <f t="shared" si="2"/>
        <v>medium|faas</v>
      </c>
    </row>
    <row r="12" spans="1:27" ht="32.1" customHeight="1" x14ac:dyDescent="0.25">
      <c r="A12" s="10" t="s">
        <v>77</v>
      </c>
      <c r="B12" s="10" t="s">
        <v>94</v>
      </c>
      <c r="C12" s="11">
        <v>20000000</v>
      </c>
      <c r="D12" s="15">
        <v>70.5648822</v>
      </c>
      <c r="E12" s="15">
        <v>60.346282199999997</v>
      </c>
      <c r="F12" s="15">
        <v>9.7786000000000008</v>
      </c>
      <c r="G12" s="15">
        <v>60.786282200000002</v>
      </c>
      <c r="H12" s="15">
        <v>3.5282441100000002</v>
      </c>
      <c r="I12" s="10" t="s">
        <v>262</v>
      </c>
      <c r="J12" s="16">
        <f>SUMIFS('Cost Breakdown'!$E$6:$E$140,'Cost Breakdown'!$A$6:$A$140,A12,'Cost Breakdown'!$C$6:$C$140,B12)</f>
        <v>70.5648822</v>
      </c>
      <c r="K12" s="17">
        <f t="shared" si="0"/>
        <v>0</v>
      </c>
      <c r="L12" s="13" t="str">
        <f t="shared" si="1"/>
        <v>OK</v>
      </c>
      <c r="M12" s="13" t="str">
        <f t="shared" si="2"/>
        <v>high|iaas</v>
      </c>
    </row>
    <row r="13" spans="1:27" ht="32.1" customHeight="1" x14ac:dyDescent="0.25">
      <c r="A13" s="10" t="s">
        <v>77</v>
      </c>
      <c r="B13" s="10" t="s">
        <v>121</v>
      </c>
      <c r="C13" s="11">
        <v>20000000</v>
      </c>
      <c r="D13" s="15">
        <v>66.233804443394305</v>
      </c>
      <c r="E13" s="15">
        <v>48.455204443394308</v>
      </c>
      <c r="F13" s="15">
        <v>9.7786000000000008</v>
      </c>
      <c r="G13" s="15">
        <v>56.455204443394308</v>
      </c>
      <c r="H13" s="15">
        <v>3.3116902221697151</v>
      </c>
      <c r="I13" s="10" t="s">
        <v>263</v>
      </c>
      <c r="J13" s="16">
        <f>SUMIFS('Cost Breakdown'!$E$6:$E$140,'Cost Breakdown'!$A$6:$A$140,A13,'Cost Breakdown'!$C$6:$C$140,B13)</f>
        <v>66.233804443394305</v>
      </c>
      <c r="K13" s="17">
        <f t="shared" si="0"/>
        <v>0</v>
      </c>
      <c r="L13" s="13" t="str">
        <f t="shared" si="1"/>
        <v>OK</v>
      </c>
      <c r="M13" s="13" t="str">
        <f t="shared" si="2"/>
        <v>high|paas</v>
      </c>
    </row>
    <row r="14" spans="1:27" ht="32.1" customHeight="1" x14ac:dyDescent="0.25">
      <c r="A14" s="10" t="s">
        <v>77</v>
      </c>
      <c r="B14" s="10" t="s">
        <v>58</v>
      </c>
      <c r="C14" s="11">
        <v>20000000</v>
      </c>
      <c r="D14" s="15">
        <v>66.233804443394305</v>
      </c>
      <c r="E14" s="15">
        <v>48.455204443394308</v>
      </c>
      <c r="F14" s="15">
        <v>9.7786000000000008</v>
      </c>
      <c r="G14" s="15">
        <v>56.455204443394308</v>
      </c>
      <c r="H14" s="15">
        <v>3.3116902221697151</v>
      </c>
      <c r="I14" s="10" t="s">
        <v>263</v>
      </c>
      <c r="J14" s="16">
        <f>SUMIFS('Cost Breakdown'!$E$6:$E$140,'Cost Breakdown'!$A$6:$A$140,A14,'Cost Breakdown'!$C$6:$C$140,B14)</f>
        <v>66.233804443394305</v>
      </c>
      <c r="K14" s="17">
        <f t="shared" si="0"/>
        <v>0</v>
      </c>
      <c r="L14" s="13" t="str">
        <f t="shared" si="1"/>
        <v>OK</v>
      </c>
      <c r="M14" s="13" t="str">
        <f t="shared" si="2"/>
        <v>high|faas</v>
      </c>
    </row>
  </sheetData>
  <mergeCells count="6">
    <mergeCell ref="N1:AA1"/>
    <mergeCell ref="A1:M1"/>
    <mergeCell ref="N3:AA3"/>
    <mergeCell ref="A3:M3"/>
    <mergeCell ref="N2:AA2"/>
    <mergeCell ref="A2:M2"/>
  </mergeCells>
  <conditionalFormatting sqref="K6:K14">
    <cfRule type="cellIs" dxfId="0" priority="1" operator="notBetween">
      <formula>-0.000001</formula>
      <formula>0.000001</formula>
    </cfRule>
  </conditionalFormatting>
  <pageMargins left="0.75" right="0.75" top="1" bottom="1" header="0.5" footer="0.5"/>
  <pageSetup paperSize="8" fitToHeight="0" orientation="landscape"/>
  <headerFooter>
    <oddFooter>&amp;CDEMO | &amp;A | &amp;P / &amp;N</oddFooter>
  </headerFooter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I71"/>
  <sheetViews>
    <sheetView showGridLines="0"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4" width="26" customWidth="1"/>
    <col min="5" max="7" width="21" customWidth="1"/>
    <col min="8" max="8" width="26" customWidth="1"/>
    <col min="9" max="9" width="42" customWidth="1"/>
  </cols>
  <sheetData>
    <row r="1" spans="1:9" ht="33.950000000000003" customHeight="1" x14ac:dyDescent="0.25">
      <c r="A1" s="25" t="s">
        <v>264</v>
      </c>
      <c r="B1" s="22"/>
      <c r="C1" s="22"/>
      <c r="D1" s="22"/>
      <c r="E1" s="22"/>
      <c r="F1" s="22"/>
      <c r="G1" s="22"/>
      <c r="H1" s="22"/>
      <c r="I1" s="22"/>
    </row>
    <row r="2" spans="1:9" ht="30" customHeight="1" x14ac:dyDescent="0.25">
      <c r="A2" s="21" t="s">
        <v>1</v>
      </c>
      <c r="B2" s="22"/>
      <c r="C2" s="22"/>
      <c r="D2" s="22"/>
      <c r="E2" s="22"/>
      <c r="F2" s="22"/>
      <c r="G2" s="22"/>
      <c r="H2" s="22"/>
      <c r="I2" s="22"/>
    </row>
    <row r="3" spans="1:9" ht="30" customHeight="1" x14ac:dyDescent="0.25">
      <c r="A3" s="26" t="s">
        <v>265</v>
      </c>
      <c r="B3" s="22"/>
      <c r="C3" s="22"/>
      <c r="D3" s="22"/>
      <c r="E3" s="22"/>
      <c r="F3" s="22"/>
      <c r="G3" s="22"/>
      <c r="H3" s="22"/>
      <c r="I3" s="22"/>
    </row>
    <row r="5" spans="1:9" ht="36" customHeight="1" x14ac:dyDescent="0.25">
      <c r="A5" s="2" t="s">
        <v>22</v>
      </c>
      <c r="B5" s="2" t="s">
        <v>24</v>
      </c>
      <c r="C5" s="2" t="s">
        <v>266</v>
      </c>
      <c r="D5" s="2" t="s">
        <v>267</v>
      </c>
      <c r="E5" s="2" t="s">
        <v>268</v>
      </c>
      <c r="F5" s="2" t="s">
        <v>269</v>
      </c>
      <c r="G5" s="2" t="s">
        <v>270</v>
      </c>
      <c r="H5" s="2" t="s">
        <v>254</v>
      </c>
      <c r="I5" s="2" t="s">
        <v>271</v>
      </c>
    </row>
    <row r="6" spans="1:9" ht="32.1" customHeight="1" x14ac:dyDescent="0.25">
      <c r="A6" s="10" t="s">
        <v>56</v>
      </c>
      <c r="B6" s="10" t="s">
        <v>94</v>
      </c>
      <c r="C6" s="10" t="s">
        <v>248</v>
      </c>
      <c r="D6" s="10" t="s">
        <v>83</v>
      </c>
      <c r="E6" s="15">
        <v>61.930282200000001</v>
      </c>
      <c r="F6" s="15">
        <v>61.450582199999999</v>
      </c>
      <c r="G6" s="15">
        <v>-0.47970000000000113</v>
      </c>
      <c r="H6" s="10" t="s">
        <v>262</v>
      </c>
      <c r="I6" s="12"/>
    </row>
    <row r="7" spans="1:9" ht="32.1" customHeight="1" x14ac:dyDescent="0.25">
      <c r="A7" s="10" t="s">
        <v>56</v>
      </c>
      <c r="B7" s="10" t="s">
        <v>94</v>
      </c>
      <c r="C7" s="10" t="s">
        <v>248</v>
      </c>
      <c r="D7" s="10" t="s">
        <v>77</v>
      </c>
      <c r="E7" s="15">
        <v>61.930282200000001</v>
      </c>
      <c r="F7" s="15">
        <v>62.409982200000002</v>
      </c>
      <c r="G7" s="15">
        <v>0.47969999999999402</v>
      </c>
      <c r="H7" s="10" t="s">
        <v>262</v>
      </c>
      <c r="I7" s="12"/>
    </row>
    <row r="8" spans="1:9" ht="32.1" customHeight="1" x14ac:dyDescent="0.25">
      <c r="A8" s="10" t="s">
        <v>56</v>
      </c>
      <c r="B8" s="10" t="s">
        <v>94</v>
      </c>
      <c r="C8" s="10" t="s">
        <v>272</v>
      </c>
      <c r="D8" s="10" t="s">
        <v>83</v>
      </c>
      <c r="E8" s="15">
        <v>61.930282200000001</v>
      </c>
      <c r="F8" s="15">
        <v>61.930282200000001</v>
      </c>
      <c r="G8" s="15">
        <v>0</v>
      </c>
      <c r="H8" s="10" t="s">
        <v>262</v>
      </c>
      <c r="I8" s="12"/>
    </row>
    <row r="9" spans="1:9" ht="32.1" customHeight="1" x14ac:dyDescent="0.25">
      <c r="A9" s="10" t="s">
        <v>56</v>
      </c>
      <c r="B9" s="10" t="s">
        <v>94</v>
      </c>
      <c r="C9" s="10" t="s">
        <v>272</v>
      </c>
      <c r="D9" s="10" t="s">
        <v>77</v>
      </c>
      <c r="E9" s="15">
        <v>61.930282200000001</v>
      </c>
      <c r="F9" s="15">
        <v>61.930282200000001</v>
      </c>
      <c r="G9" s="15">
        <v>0</v>
      </c>
      <c r="H9" s="10" t="s">
        <v>262</v>
      </c>
      <c r="I9" s="12"/>
    </row>
    <row r="10" spans="1:9" ht="32.1" customHeight="1" x14ac:dyDescent="0.25">
      <c r="A10" s="10" t="s">
        <v>56</v>
      </c>
      <c r="B10" s="10" t="s">
        <v>94</v>
      </c>
      <c r="C10" s="10" t="s">
        <v>273</v>
      </c>
      <c r="D10" s="10" t="s">
        <v>83</v>
      </c>
      <c r="E10" s="15">
        <v>61.930282200000001</v>
      </c>
      <c r="F10" s="15">
        <v>61.930282200000001</v>
      </c>
      <c r="G10" s="15">
        <v>0</v>
      </c>
      <c r="H10" s="10" t="s">
        <v>262</v>
      </c>
      <c r="I10" s="10" t="s">
        <v>274</v>
      </c>
    </row>
    <row r="11" spans="1:9" ht="32.1" customHeight="1" x14ac:dyDescent="0.25">
      <c r="A11" s="10" t="s">
        <v>56</v>
      </c>
      <c r="B11" s="10" t="s">
        <v>94</v>
      </c>
      <c r="C11" s="10" t="s">
        <v>273</v>
      </c>
      <c r="D11" s="10" t="s">
        <v>77</v>
      </c>
      <c r="E11" s="15">
        <v>61.930282200000001</v>
      </c>
      <c r="F11" s="15">
        <v>61.930282200000001</v>
      </c>
      <c r="G11" s="15">
        <v>0</v>
      </c>
      <c r="H11" s="10" t="s">
        <v>262</v>
      </c>
      <c r="I11" s="10" t="s">
        <v>274</v>
      </c>
    </row>
    <row r="12" spans="1:9" ht="32.1" customHeight="1" x14ac:dyDescent="0.25">
      <c r="A12" s="10" t="s">
        <v>56</v>
      </c>
      <c r="B12" s="10" t="s">
        <v>94</v>
      </c>
      <c r="C12" s="10" t="s">
        <v>275</v>
      </c>
      <c r="D12" s="10" t="s">
        <v>83</v>
      </c>
      <c r="E12" s="15">
        <v>61.930282200000001</v>
      </c>
      <c r="F12" s="15">
        <v>62.188582199999999</v>
      </c>
      <c r="G12" s="15">
        <v>0.25829999999999842</v>
      </c>
      <c r="H12" s="10" t="s">
        <v>262</v>
      </c>
      <c r="I12" s="12"/>
    </row>
    <row r="13" spans="1:9" ht="32.1" customHeight="1" x14ac:dyDescent="0.25">
      <c r="A13" s="10" t="s">
        <v>56</v>
      </c>
      <c r="B13" s="10" t="s">
        <v>94</v>
      </c>
      <c r="C13" s="10" t="s">
        <v>275</v>
      </c>
      <c r="D13" s="10" t="s">
        <v>77</v>
      </c>
      <c r="E13" s="15">
        <v>61.930282200000001</v>
      </c>
      <c r="F13" s="15">
        <v>61.745782200000001</v>
      </c>
      <c r="G13" s="15">
        <v>-0.18450000000000699</v>
      </c>
      <c r="H13" s="10" t="s">
        <v>262</v>
      </c>
      <c r="I13" s="12"/>
    </row>
    <row r="14" spans="1:9" ht="32.1" customHeight="1" x14ac:dyDescent="0.25">
      <c r="A14" s="10" t="s">
        <v>56</v>
      </c>
      <c r="B14" s="10" t="s">
        <v>94</v>
      </c>
      <c r="C14" s="10" t="s">
        <v>276</v>
      </c>
      <c r="D14" s="10" t="s">
        <v>83</v>
      </c>
      <c r="E14" s="15">
        <v>61.930282200000001</v>
      </c>
      <c r="F14" s="15">
        <v>61.930282200000001</v>
      </c>
      <c r="G14" s="15">
        <v>0</v>
      </c>
      <c r="H14" s="10" t="s">
        <v>262</v>
      </c>
      <c r="I14" s="12"/>
    </row>
    <row r="15" spans="1:9" ht="32.1" customHeight="1" x14ac:dyDescent="0.25">
      <c r="A15" s="10" t="s">
        <v>56</v>
      </c>
      <c r="B15" s="10" t="s">
        <v>94</v>
      </c>
      <c r="C15" s="10" t="s">
        <v>276</v>
      </c>
      <c r="D15" s="10" t="s">
        <v>77</v>
      </c>
      <c r="E15" s="15">
        <v>61.930282200000001</v>
      </c>
      <c r="F15" s="15">
        <v>61.930282200000001</v>
      </c>
      <c r="G15" s="15">
        <v>0</v>
      </c>
      <c r="H15" s="10" t="s">
        <v>262</v>
      </c>
      <c r="I15" s="12"/>
    </row>
    <row r="16" spans="1:9" ht="32.1" customHeight="1" x14ac:dyDescent="0.25">
      <c r="A16" s="10" t="s">
        <v>56</v>
      </c>
      <c r="B16" s="10" t="s">
        <v>94</v>
      </c>
      <c r="C16" s="10" t="s">
        <v>277</v>
      </c>
      <c r="D16" s="10" t="s">
        <v>83</v>
      </c>
      <c r="E16" s="15">
        <v>61.930282200000001</v>
      </c>
      <c r="F16" s="15">
        <v>61.930282200000001</v>
      </c>
      <c r="G16" s="15">
        <v>0</v>
      </c>
      <c r="H16" s="10" t="s">
        <v>262</v>
      </c>
      <c r="I16" s="10" t="s">
        <v>274</v>
      </c>
    </row>
    <row r="17" spans="1:9" ht="32.1" customHeight="1" x14ac:dyDescent="0.25">
      <c r="A17" s="10" t="s">
        <v>56</v>
      </c>
      <c r="B17" s="10" t="s">
        <v>94</v>
      </c>
      <c r="C17" s="10" t="s">
        <v>277</v>
      </c>
      <c r="D17" s="10" t="s">
        <v>77</v>
      </c>
      <c r="E17" s="15">
        <v>61.930282200000001</v>
      </c>
      <c r="F17" s="15">
        <v>61.930282200000001</v>
      </c>
      <c r="G17" s="15">
        <v>0</v>
      </c>
      <c r="H17" s="10" t="s">
        <v>262</v>
      </c>
      <c r="I17" s="10" t="s">
        <v>274</v>
      </c>
    </row>
    <row r="18" spans="1:9" ht="32.1" customHeight="1" x14ac:dyDescent="0.25">
      <c r="A18" s="10" t="s">
        <v>56</v>
      </c>
      <c r="B18" s="10" t="s">
        <v>94</v>
      </c>
      <c r="C18" s="10" t="s">
        <v>278</v>
      </c>
      <c r="D18" s="10" t="s">
        <v>83</v>
      </c>
      <c r="E18" s="15">
        <v>61.930282200000001</v>
      </c>
      <c r="F18" s="15">
        <v>61.930282200000001</v>
      </c>
      <c r="G18" s="15">
        <v>0</v>
      </c>
      <c r="H18" s="10" t="s">
        <v>262</v>
      </c>
      <c r="I18" s="12"/>
    </row>
    <row r="19" spans="1:9" ht="32.1" customHeight="1" x14ac:dyDescent="0.25">
      <c r="A19" s="10" t="s">
        <v>56</v>
      </c>
      <c r="B19" s="10" t="s">
        <v>94</v>
      </c>
      <c r="C19" s="10" t="s">
        <v>278</v>
      </c>
      <c r="D19" s="10" t="s">
        <v>77</v>
      </c>
      <c r="E19" s="15">
        <v>61.930282200000001</v>
      </c>
      <c r="F19" s="15">
        <v>61.930282200000001</v>
      </c>
      <c r="G19" s="15">
        <v>0</v>
      </c>
      <c r="H19" s="10" t="s">
        <v>262</v>
      </c>
      <c r="I19" s="12"/>
    </row>
    <row r="20" spans="1:9" ht="32.1" customHeight="1" x14ac:dyDescent="0.25">
      <c r="A20" s="10" t="s">
        <v>56</v>
      </c>
      <c r="B20" s="10" t="s">
        <v>94</v>
      </c>
      <c r="C20" s="10" t="s">
        <v>279</v>
      </c>
      <c r="D20" s="10" t="s">
        <v>83</v>
      </c>
      <c r="E20" s="15">
        <v>61.930282200000001</v>
      </c>
      <c r="F20" s="15">
        <v>61.930282200000001</v>
      </c>
      <c r="G20" s="15">
        <v>0</v>
      </c>
      <c r="H20" s="10" t="s">
        <v>262</v>
      </c>
      <c r="I20" s="12"/>
    </row>
    <row r="21" spans="1:9" ht="32.1" customHeight="1" x14ac:dyDescent="0.25">
      <c r="A21" s="10" t="s">
        <v>56</v>
      </c>
      <c r="B21" s="10" t="s">
        <v>94</v>
      </c>
      <c r="C21" s="10" t="s">
        <v>279</v>
      </c>
      <c r="D21" s="10" t="s">
        <v>77</v>
      </c>
      <c r="E21" s="15">
        <v>61.930282200000001</v>
      </c>
      <c r="F21" s="15">
        <v>61.930282200000001</v>
      </c>
      <c r="G21" s="15">
        <v>0</v>
      </c>
      <c r="H21" s="10" t="s">
        <v>262</v>
      </c>
      <c r="I21" s="12"/>
    </row>
    <row r="22" spans="1:9" ht="32.1" customHeight="1" x14ac:dyDescent="0.25">
      <c r="A22" s="10" t="s">
        <v>56</v>
      </c>
      <c r="B22" s="10" t="s">
        <v>94</v>
      </c>
      <c r="C22" s="10" t="s">
        <v>280</v>
      </c>
      <c r="D22" s="10" t="s">
        <v>83</v>
      </c>
      <c r="E22" s="15">
        <v>61.930282200000001</v>
      </c>
      <c r="F22" s="15">
        <v>61.930282200000001</v>
      </c>
      <c r="G22" s="15">
        <v>0</v>
      </c>
      <c r="H22" s="10" t="s">
        <v>262</v>
      </c>
      <c r="I22" s="10" t="s">
        <v>274</v>
      </c>
    </row>
    <row r="23" spans="1:9" ht="32.1" customHeight="1" x14ac:dyDescent="0.25">
      <c r="A23" s="10" t="s">
        <v>56</v>
      </c>
      <c r="B23" s="10" t="s">
        <v>94</v>
      </c>
      <c r="C23" s="10" t="s">
        <v>280</v>
      </c>
      <c r="D23" s="10" t="s">
        <v>77</v>
      </c>
      <c r="E23" s="15">
        <v>61.930282200000001</v>
      </c>
      <c r="F23" s="15">
        <v>61.930282200000001</v>
      </c>
      <c r="G23" s="15">
        <v>0</v>
      </c>
      <c r="H23" s="10" t="s">
        <v>262</v>
      </c>
      <c r="I23" s="10" t="s">
        <v>274</v>
      </c>
    </row>
    <row r="24" spans="1:9" ht="32.1" customHeight="1" x14ac:dyDescent="0.25">
      <c r="A24" s="10" t="s">
        <v>56</v>
      </c>
      <c r="B24" s="10" t="s">
        <v>94</v>
      </c>
      <c r="C24" s="10" t="s">
        <v>281</v>
      </c>
      <c r="D24" s="10" t="s">
        <v>83</v>
      </c>
      <c r="E24" s="15">
        <v>61.930282200000001</v>
      </c>
      <c r="F24" s="15">
        <v>30.9651411</v>
      </c>
      <c r="G24" s="15">
        <v>-30.9651411</v>
      </c>
      <c r="H24" s="10" t="s">
        <v>262</v>
      </c>
      <c r="I24" s="12"/>
    </row>
    <row r="25" spans="1:9" ht="32.1" customHeight="1" x14ac:dyDescent="0.25">
      <c r="A25" s="10" t="s">
        <v>56</v>
      </c>
      <c r="B25" s="10" t="s">
        <v>94</v>
      </c>
      <c r="C25" s="10" t="s">
        <v>281</v>
      </c>
      <c r="D25" s="10" t="s">
        <v>77</v>
      </c>
      <c r="E25" s="15">
        <v>61.930282200000001</v>
      </c>
      <c r="F25" s="15">
        <v>92.895423300000004</v>
      </c>
      <c r="G25" s="15">
        <v>30.9651411</v>
      </c>
      <c r="H25" s="10" t="s">
        <v>262</v>
      </c>
      <c r="I25" s="12"/>
    </row>
    <row r="26" spans="1:9" ht="32.1" customHeight="1" x14ac:dyDescent="0.25">
      <c r="A26" s="10" t="s">
        <v>56</v>
      </c>
      <c r="B26" s="10" t="s">
        <v>94</v>
      </c>
      <c r="C26" s="10" t="s">
        <v>282</v>
      </c>
      <c r="D26" s="10" t="s">
        <v>83</v>
      </c>
      <c r="E26" s="15">
        <v>61.930282200000001</v>
      </c>
      <c r="F26" s="15">
        <v>61.930282200000001</v>
      </c>
      <c r="G26" s="15">
        <v>0</v>
      </c>
      <c r="H26" s="10" t="s">
        <v>262</v>
      </c>
      <c r="I26" s="12"/>
    </row>
    <row r="27" spans="1:9" ht="32.1" customHeight="1" x14ac:dyDescent="0.25">
      <c r="A27" s="10" t="s">
        <v>56</v>
      </c>
      <c r="B27" s="10" t="s">
        <v>94</v>
      </c>
      <c r="C27" s="10" t="s">
        <v>282</v>
      </c>
      <c r="D27" s="10" t="s">
        <v>77</v>
      </c>
      <c r="E27" s="15">
        <v>61.930282200000001</v>
      </c>
      <c r="F27" s="15">
        <v>61.930282200000001</v>
      </c>
      <c r="G27" s="15">
        <v>0</v>
      </c>
      <c r="H27" s="10" t="s">
        <v>262</v>
      </c>
      <c r="I27" s="12"/>
    </row>
    <row r="28" spans="1:9" ht="32.1" customHeight="1" x14ac:dyDescent="0.25">
      <c r="A28" s="10" t="s">
        <v>56</v>
      </c>
      <c r="B28" s="10" t="s">
        <v>121</v>
      </c>
      <c r="C28" s="10" t="s">
        <v>248</v>
      </c>
      <c r="D28" s="10" t="s">
        <v>83</v>
      </c>
      <c r="E28" s="15">
        <v>8.9718687518012654</v>
      </c>
      <c r="F28" s="15">
        <v>4.6744450126841457</v>
      </c>
      <c r="G28" s="15">
        <v>-4.2974237391171197</v>
      </c>
      <c r="H28" s="10" t="s">
        <v>263</v>
      </c>
      <c r="I28" s="12"/>
    </row>
    <row r="29" spans="1:9" ht="32.1" customHeight="1" x14ac:dyDescent="0.25">
      <c r="A29" s="10" t="s">
        <v>56</v>
      </c>
      <c r="B29" s="10" t="s">
        <v>121</v>
      </c>
      <c r="C29" s="10" t="s">
        <v>248</v>
      </c>
      <c r="D29" s="10" t="s">
        <v>77</v>
      </c>
      <c r="E29" s="15">
        <v>8.9718687518012654</v>
      </c>
      <c r="F29" s="15">
        <v>13.09607984624679</v>
      </c>
      <c r="G29" s="15">
        <v>4.1242110944455241</v>
      </c>
      <c r="H29" s="10" t="s">
        <v>263</v>
      </c>
      <c r="I29" s="12"/>
    </row>
    <row r="30" spans="1:9" ht="32.1" customHeight="1" x14ac:dyDescent="0.25">
      <c r="A30" s="10" t="s">
        <v>56</v>
      </c>
      <c r="B30" s="10" t="s">
        <v>121</v>
      </c>
      <c r="C30" s="10" t="s">
        <v>272</v>
      </c>
      <c r="D30" s="10" t="s">
        <v>83</v>
      </c>
      <c r="E30" s="15">
        <v>8.9718687518012654</v>
      </c>
      <c r="F30" s="15">
        <v>8.9718687518012654</v>
      </c>
      <c r="G30" s="15">
        <v>0</v>
      </c>
      <c r="H30" s="10" t="s">
        <v>263</v>
      </c>
      <c r="I30" s="12"/>
    </row>
    <row r="31" spans="1:9" ht="32.1" customHeight="1" x14ac:dyDescent="0.25">
      <c r="A31" s="10" t="s">
        <v>56</v>
      </c>
      <c r="B31" s="10" t="s">
        <v>121</v>
      </c>
      <c r="C31" s="10" t="s">
        <v>272</v>
      </c>
      <c r="D31" s="10" t="s">
        <v>77</v>
      </c>
      <c r="E31" s="15">
        <v>8.9718687518012654</v>
      </c>
      <c r="F31" s="15">
        <v>8.9718687518012654</v>
      </c>
      <c r="G31" s="15">
        <v>0</v>
      </c>
      <c r="H31" s="10" t="s">
        <v>263</v>
      </c>
      <c r="I31" s="12"/>
    </row>
    <row r="32" spans="1:9" ht="32.1" customHeight="1" x14ac:dyDescent="0.25">
      <c r="A32" s="10" t="s">
        <v>56</v>
      </c>
      <c r="B32" s="10" t="s">
        <v>121</v>
      </c>
      <c r="C32" s="10" t="s">
        <v>273</v>
      </c>
      <c r="D32" s="10" t="s">
        <v>83</v>
      </c>
      <c r="E32" s="15">
        <v>8.9718687518012654</v>
      </c>
      <c r="F32" s="15">
        <v>8.6403655087917723</v>
      </c>
      <c r="G32" s="15">
        <v>-0.33150324300949308</v>
      </c>
      <c r="H32" s="10" t="s">
        <v>263</v>
      </c>
      <c r="I32" s="12"/>
    </row>
    <row r="33" spans="1:9" ht="32.1" customHeight="1" x14ac:dyDescent="0.25">
      <c r="A33" s="10" t="s">
        <v>56</v>
      </c>
      <c r="B33" s="10" t="s">
        <v>121</v>
      </c>
      <c r="C33" s="10" t="s">
        <v>273</v>
      </c>
      <c r="D33" s="10" t="s">
        <v>77</v>
      </c>
      <c r="E33" s="15">
        <v>8.9718687518012654</v>
      </c>
      <c r="F33" s="15">
        <v>9.3033719948107603</v>
      </c>
      <c r="G33" s="15">
        <v>0.3315032430094948</v>
      </c>
      <c r="H33" s="10" t="s">
        <v>263</v>
      </c>
      <c r="I33" s="12"/>
    </row>
    <row r="34" spans="1:9" ht="32.1" customHeight="1" x14ac:dyDescent="0.25">
      <c r="A34" s="10" t="s">
        <v>56</v>
      </c>
      <c r="B34" s="10" t="s">
        <v>121</v>
      </c>
      <c r="C34" s="10" t="s">
        <v>275</v>
      </c>
      <c r="D34" s="10" t="s">
        <v>83</v>
      </c>
      <c r="E34" s="15">
        <v>8.9718687518012654</v>
      </c>
      <c r="F34" s="15">
        <v>9.2301687518012656</v>
      </c>
      <c r="G34" s="15">
        <v>0.2583000000000002</v>
      </c>
      <c r="H34" s="10" t="s">
        <v>263</v>
      </c>
      <c r="I34" s="12"/>
    </row>
    <row r="35" spans="1:9" ht="32.1" customHeight="1" x14ac:dyDescent="0.25">
      <c r="A35" s="10" t="s">
        <v>56</v>
      </c>
      <c r="B35" s="10" t="s">
        <v>121</v>
      </c>
      <c r="C35" s="10" t="s">
        <v>275</v>
      </c>
      <c r="D35" s="10" t="s">
        <v>77</v>
      </c>
      <c r="E35" s="15">
        <v>8.9718687518012654</v>
      </c>
      <c r="F35" s="15">
        <v>8.7873687518012655</v>
      </c>
      <c r="G35" s="15">
        <v>-0.18449999999999989</v>
      </c>
      <c r="H35" s="10" t="s">
        <v>263</v>
      </c>
      <c r="I35" s="12"/>
    </row>
    <row r="36" spans="1:9" ht="32.1" customHeight="1" x14ac:dyDescent="0.25">
      <c r="A36" s="10" t="s">
        <v>56</v>
      </c>
      <c r="B36" s="10" t="s">
        <v>121</v>
      </c>
      <c r="C36" s="10" t="s">
        <v>276</v>
      </c>
      <c r="D36" s="10" t="s">
        <v>83</v>
      </c>
      <c r="E36" s="15">
        <v>8.9718687518012654</v>
      </c>
      <c r="F36" s="15">
        <v>8.9718687518012654</v>
      </c>
      <c r="G36" s="15">
        <v>0</v>
      </c>
      <c r="H36" s="10" t="s">
        <v>263</v>
      </c>
      <c r="I36" s="12"/>
    </row>
    <row r="37" spans="1:9" ht="32.1" customHeight="1" x14ac:dyDescent="0.25">
      <c r="A37" s="10" t="s">
        <v>56</v>
      </c>
      <c r="B37" s="10" t="s">
        <v>121</v>
      </c>
      <c r="C37" s="10" t="s">
        <v>276</v>
      </c>
      <c r="D37" s="10" t="s">
        <v>77</v>
      </c>
      <c r="E37" s="15">
        <v>8.9718687518012654</v>
      </c>
      <c r="F37" s="15">
        <v>8.9718687518012654</v>
      </c>
      <c r="G37" s="15">
        <v>0</v>
      </c>
      <c r="H37" s="10" t="s">
        <v>263</v>
      </c>
      <c r="I37" s="12"/>
    </row>
    <row r="38" spans="1:9" ht="32.1" customHeight="1" x14ac:dyDescent="0.25">
      <c r="A38" s="10" t="s">
        <v>56</v>
      </c>
      <c r="B38" s="10" t="s">
        <v>121</v>
      </c>
      <c r="C38" s="10" t="s">
        <v>277</v>
      </c>
      <c r="D38" s="10" t="s">
        <v>83</v>
      </c>
      <c r="E38" s="15">
        <v>8.9718687518012654</v>
      </c>
      <c r="F38" s="15">
        <v>8.9718742477871203</v>
      </c>
      <c r="G38" s="15">
        <v>5.495985854864216E-6</v>
      </c>
      <c r="H38" s="10" t="s">
        <v>263</v>
      </c>
      <c r="I38" s="12"/>
    </row>
    <row r="39" spans="1:9" ht="32.1" customHeight="1" x14ac:dyDescent="0.25">
      <c r="A39" s="10" t="s">
        <v>56</v>
      </c>
      <c r="B39" s="10" t="s">
        <v>121</v>
      </c>
      <c r="C39" s="10" t="s">
        <v>277</v>
      </c>
      <c r="D39" s="10" t="s">
        <v>77</v>
      </c>
      <c r="E39" s="15">
        <v>8.9718687518012654</v>
      </c>
      <c r="F39" s="15">
        <v>8.9718687518008817</v>
      </c>
      <c r="G39" s="15">
        <v>-3.836930773104541E-13</v>
      </c>
      <c r="H39" s="10" t="s">
        <v>263</v>
      </c>
      <c r="I39" s="12"/>
    </row>
    <row r="40" spans="1:9" ht="32.1" customHeight="1" x14ac:dyDescent="0.25">
      <c r="A40" s="10" t="s">
        <v>56</v>
      </c>
      <c r="B40" s="10" t="s">
        <v>121</v>
      </c>
      <c r="C40" s="10" t="s">
        <v>278</v>
      </c>
      <c r="D40" s="10" t="s">
        <v>83</v>
      </c>
      <c r="E40" s="15">
        <v>8.9718687518012654</v>
      </c>
      <c r="F40" s="15">
        <v>9.0664059342693744</v>
      </c>
      <c r="G40" s="15">
        <v>9.4537182468108896E-2</v>
      </c>
      <c r="H40" s="10" t="s">
        <v>263</v>
      </c>
      <c r="I40" s="12"/>
    </row>
    <row r="41" spans="1:9" ht="32.1" customHeight="1" x14ac:dyDescent="0.25">
      <c r="A41" s="10" t="s">
        <v>56</v>
      </c>
      <c r="B41" s="10" t="s">
        <v>121</v>
      </c>
      <c r="C41" s="10" t="s">
        <v>278</v>
      </c>
      <c r="D41" s="10" t="s">
        <v>77</v>
      </c>
      <c r="E41" s="15">
        <v>8.9718687518012654</v>
      </c>
      <c r="F41" s="15">
        <v>8.8404274013798254</v>
      </c>
      <c r="G41" s="15">
        <v>-0.13144135042144001</v>
      </c>
      <c r="H41" s="10" t="s">
        <v>263</v>
      </c>
      <c r="I41" s="12"/>
    </row>
    <row r="42" spans="1:9" ht="32.1" customHeight="1" x14ac:dyDescent="0.25">
      <c r="A42" s="10" t="s">
        <v>56</v>
      </c>
      <c r="B42" s="10" t="s">
        <v>121</v>
      </c>
      <c r="C42" s="10" t="s">
        <v>279</v>
      </c>
      <c r="D42" s="10" t="s">
        <v>83</v>
      </c>
      <c r="E42" s="15">
        <v>8.9718687518012654</v>
      </c>
      <c r="F42" s="15">
        <v>7.5527867979657444</v>
      </c>
      <c r="G42" s="15">
        <v>-1.419081953835521</v>
      </c>
      <c r="H42" s="10" t="s">
        <v>263</v>
      </c>
      <c r="I42" s="12"/>
    </row>
    <row r="43" spans="1:9" ht="32.1" customHeight="1" x14ac:dyDescent="0.25">
      <c r="A43" s="10" t="s">
        <v>56</v>
      </c>
      <c r="B43" s="10" t="s">
        <v>121</v>
      </c>
      <c r="C43" s="10" t="s">
        <v>279</v>
      </c>
      <c r="D43" s="10" t="s">
        <v>77</v>
      </c>
      <c r="E43" s="15">
        <v>8.9718687518012654</v>
      </c>
      <c r="F43" s="15">
        <v>8.6243112326483633</v>
      </c>
      <c r="G43" s="15">
        <v>-0.34755751915290212</v>
      </c>
      <c r="H43" s="10" t="s">
        <v>263</v>
      </c>
      <c r="I43" s="12"/>
    </row>
    <row r="44" spans="1:9" ht="32.1" customHeight="1" x14ac:dyDescent="0.25">
      <c r="A44" s="10" t="s">
        <v>56</v>
      </c>
      <c r="B44" s="10" t="s">
        <v>121</v>
      </c>
      <c r="C44" s="10" t="s">
        <v>280</v>
      </c>
      <c r="D44" s="10" t="s">
        <v>83</v>
      </c>
      <c r="E44" s="15">
        <v>8.9718687518012654</v>
      </c>
      <c r="F44" s="15">
        <v>8.9718687518012654</v>
      </c>
      <c r="G44" s="15">
        <v>0</v>
      </c>
      <c r="H44" s="10" t="s">
        <v>263</v>
      </c>
      <c r="I44" s="12"/>
    </row>
    <row r="45" spans="1:9" ht="32.1" customHeight="1" x14ac:dyDescent="0.25">
      <c r="A45" s="10" t="s">
        <v>56</v>
      </c>
      <c r="B45" s="10" t="s">
        <v>121</v>
      </c>
      <c r="C45" s="10" t="s">
        <v>280</v>
      </c>
      <c r="D45" s="10" t="s">
        <v>77</v>
      </c>
      <c r="E45" s="15">
        <v>8.9718687518012654</v>
      </c>
      <c r="F45" s="15">
        <v>25.790205779763291</v>
      </c>
      <c r="G45" s="15">
        <v>16.818337027962031</v>
      </c>
      <c r="H45" s="10" t="s">
        <v>263</v>
      </c>
      <c r="I45" s="12"/>
    </row>
    <row r="46" spans="1:9" ht="32.1" customHeight="1" x14ac:dyDescent="0.25">
      <c r="A46" s="10" t="s">
        <v>56</v>
      </c>
      <c r="B46" s="10" t="s">
        <v>121</v>
      </c>
      <c r="C46" s="10" t="s">
        <v>281</v>
      </c>
      <c r="D46" s="10" t="s">
        <v>83</v>
      </c>
      <c r="E46" s="15">
        <v>8.9718687518012654</v>
      </c>
      <c r="F46" s="15">
        <v>4.4859343759006327</v>
      </c>
      <c r="G46" s="15">
        <v>-4.4859343759006327</v>
      </c>
      <c r="H46" s="10" t="s">
        <v>263</v>
      </c>
      <c r="I46" s="12"/>
    </row>
    <row r="47" spans="1:9" ht="32.1" customHeight="1" x14ac:dyDescent="0.25">
      <c r="A47" s="10" t="s">
        <v>56</v>
      </c>
      <c r="B47" s="10" t="s">
        <v>121</v>
      </c>
      <c r="C47" s="10" t="s">
        <v>281</v>
      </c>
      <c r="D47" s="10" t="s">
        <v>77</v>
      </c>
      <c r="E47" s="15">
        <v>8.9718687518012654</v>
      </c>
      <c r="F47" s="15">
        <v>13.457803127701901</v>
      </c>
      <c r="G47" s="15">
        <v>4.4859343759006336</v>
      </c>
      <c r="H47" s="10" t="s">
        <v>263</v>
      </c>
      <c r="I47" s="12"/>
    </row>
    <row r="48" spans="1:9" ht="32.1" customHeight="1" x14ac:dyDescent="0.25">
      <c r="A48" s="10" t="s">
        <v>56</v>
      </c>
      <c r="B48" s="10" t="s">
        <v>121</v>
      </c>
      <c r="C48" s="10" t="s">
        <v>282</v>
      </c>
      <c r="D48" s="10" t="s">
        <v>83</v>
      </c>
      <c r="E48" s="15">
        <v>8.9718687518012654</v>
      </c>
      <c r="F48" s="15">
        <v>8.9718687518012654</v>
      </c>
      <c r="G48" s="15">
        <v>0</v>
      </c>
      <c r="H48" s="10" t="s">
        <v>263</v>
      </c>
      <c r="I48" s="12"/>
    </row>
    <row r="49" spans="1:9" ht="32.1" customHeight="1" x14ac:dyDescent="0.25">
      <c r="A49" s="10" t="s">
        <v>56</v>
      </c>
      <c r="B49" s="10" t="s">
        <v>121</v>
      </c>
      <c r="C49" s="10" t="s">
        <v>282</v>
      </c>
      <c r="D49" s="10" t="s">
        <v>77</v>
      </c>
      <c r="E49" s="15">
        <v>8.9718687518012654</v>
      </c>
      <c r="F49" s="15">
        <v>8.9718687518012654</v>
      </c>
      <c r="G49" s="15">
        <v>0</v>
      </c>
      <c r="H49" s="10" t="s">
        <v>263</v>
      </c>
      <c r="I49" s="12"/>
    </row>
    <row r="50" spans="1:9" ht="32.1" customHeight="1" x14ac:dyDescent="0.25">
      <c r="A50" s="10" t="s">
        <v>56</v>
      </c>
      <c r="B50" s="10" t="s">
        <v>58</v>
      </c>
      <c r="C50" s="10" t="s">
        <v>248</v>
      </c>
      <c r="D50" s="10" t="s">
        <v>83</v>
      </c>
      <c r="E50" s="15">
        <v>8.9718687518012654</v>
      </c>
      <c r="F50" s="15">
        <v>4.6744450126841457</v>
      </c>
      <c r="G50" s="15">
        <v>-4.2974237391171197</v>
      </c>
      <c r="H50" s="10" t="s">
        <v>263</v>
      </c>
      <c r="I50" s="12"/>
    </row>
    <row r="51" spans="1:9" ht="32.1" customHeight="1" x14ac:dyDescent="0.25">
      <c r="A51" s="10" t="s">
        <v>56</v>
      </c>
      <c r="B51" s="10" t="s">
        <v>58</v>
      </c>
      <c r="C51" s="10" t="s">
        <v>248</v>
      </c>
      <c r="D51" s="10" t="s">
        <v>77</v>
      </c>
      <c r="E51" s="15">
        <v>8.9718687518012654</v>
      </c>
      <c r="F51" s="15">
        <v>13.09607984624679</v>
      </c>
      <c r="G51" s="15">
        <v>4.1242110944455241</v>
      </c>
      <c r="H51" s="10" t="s">
        <v>263</v>
      </c>
      <c r="I51" s="12"/>
    </row>
    <row r="52" spans="1:9" ht="32.1" customHeight="1" x14ac:dyDescent="0.25">
      <c r="A52" s="10" t="s">
        <v>56</v>
      </c>
      <c r="B52" s="10" t="s">
        <v>58</v>
      </c>
      <c r="C52" s="10" t="s">
        <v>272</v>
      </c>
      <c r="D52" s="10" t="s">
        <v>83</v>
      </c>
      <c r="E52" s="15">
        <v>8.9718687518012654</v>
      </c>
      <c r="F52" s="15">
        <v>8.9718687518012654</v>
      </c>
      <c r="G52" s="15">
        <v>0</v>
      </c>
      <c r="H52" s="10" t="s">
        <v>263</v>
      </c>
      <c r="I52" s="12"/>
    </row>
    <row r="53" spans="1:9" ht="32.1" customHeight="1" x14ac:dyDescent="0.25">
      <c r="A53" s="10" t="s">
        <v>56</v>
      </c>
      <c r="B53" s="10" t="s">
        <v>58</v>
      </c>
      <c r="C53" s="10" t="s">
        <v>272</v>
      </c>
      <c r="D53" s="10" t="s">
        <v>77</v>
      </c>
      <c r="E53" s="15">
        <v>8.9718687518012654</v>
      </c>
      <c r="F53" s="15">
        <v>8.9718687518012654</v>
      </c>
      <c r="G53" s="15">
        <v>0</v>
      </c>
      <c r="H53" s="10" t="s">
        <v>263</v>
      </c>
      <c r="I53" s="12"/>
    </row>
    <row r="54" spans="1:9" ht="32.1" customHeight="1" x14ac:dyDescent="0.25">
      <c r="A54" s="10" t="s">
        <v>56</v>
      </c>
      <c r="B54" s="10" t="s">
        <v>58</v>
      </c>
      <c r="C54" s="10" t="s">
        <v>273</v>
      </c>
      <c r="D54" s="10" t="s">
        <v>83</v>
      </c>
      <c r="E54" s="15">
        <v>8.9718687518012654</v>
      </c>
      <c r="F54" s="15">
        <v>8.6403655087917723</v>
      </c>
      <c r="G54" s="15">
        <v>-0.33150324300949308</v>
      </c>
      <c r="H54" s="10" t="s">
        <v>263</v>
      </c>
      <c r="I54" s="12"/>
    </row>
    <row r="55" spans="1:9" ht="32.1" customHeight="1" x14ac:dyDescent="0.25">
      <c r="A55" s="10" t="s">
        <v>56</v>
      </c>
      <c r="B55" s="10" t="s">
        <v>58</v>
      </c>
      <c r="C55" s="10" t="s">
        <v>273</v>
      </c>
      <c r="D55" s="10" t="s">
        <v>77</v>
      </c>
      <c r="E55" s="15">
        <v>8.9718687518012654</v>
      </c>
      <c r="F55" s="15">
        <v>9.3033719948107603</v>
      </c>
      <c r="G55" s="15">
        <v>0.3315032430094948</v>
      </c>
      <c r="H55" s="10" t="s">
        <v>263</v>
      </c>
      <c r="I55" s="12"/>
    </row>
    <row r="56" spans="1:9" ht="32.1" customHeight="1" x14ac:dyDescent="0.25">
      <c r="A56" s="10" t="s">
        <v>56</v>
      </c>
      <c r="B56" s="10" t="s">
        <v>58</v>
      </c>
      <c r="C56" s="10" t="s">
        <v>275</v>
      </c>
      <c r="D56" s="10" t="s">
        <v>83</v>
      </c>
      <c r="E56" s="15">
        <v>8.9718687518012654</v>
      </c>
      <c r="F56" s="15">
        <v>9.2301687518012656</v>
      </c>
      <c r="G56" s="15">
        <v>0.2583000000000002</v>
      </c>
      <c r="H56" s="10" t="s">
        <v>263</v>
      </c>
      <c r="I56" s="12"/>
    </row>
    <row r="57" spans="1:9" ht="32.1" customHeight="1" x14ac:dyDescent="0.25">
      <c r="A57" s="10" t="s">
        <v>56</v>
      </c>
      <c r="B57" s="10" t="s">
        <v>58</v>
      </c>
      <c r="C57" s="10" t="s">
        <v>275</v>
      </c>
      <c r="D57" s="10" t="s">
        <v>77</v>
      </c>
      <c r="E57" s="15">
        <v>8.9718687518012654</v>
      </c>
      <c r="F57" s="15">
        <v>8.7873687518012655</v>
      </c>
      <c r="G57" s="15">
        <v>-0.18449999999999989</v>
      </c>
      <c r="H57" s="10" t="s">
        <v>263</v>
      </c>
      <c r="I57" s="12"/>
    </row>
    <row r="58" spans="1:9" ht="32.1" customHeight="1" x14ac:dyDescent="0.25">
      <c r="A58" s="10" t="s">
        <v>56</v>
      </c>
      <c r="B58" s="10" t="s">
        <v>58</v>
      </c>
      <c r="C58" s="10" t="s">
        <v>276</v>
      </c>
      <c r="D58" s="10" t="s">
        <v>83</v>
      </c>
      <c r="E58" s="15">
        <v>8.9718687518012654</v>
      </c>
      <c r="F58" s="15">
        <v>8.9718687518012654</v>
      </c>
      <c r="G58" s="15">
        <v>0</v>
      </c>
      <c r="H58" s="10" t="s">
        <v>263</v>
      </c>
      <c r="I58" s="12"/>
    </row>
    <row r="59" spans="1:9" ht="32.1" customHeight="1" x14ac:dyDescent="0.25">
      <c r="A59" s="10" t="s">
        <v>56</v>
      </c>
      <c r="B59" s="10" t="s">
        <v>58</v>
      </c>
      <c r="C59" s="10" t="s">
        <v>276</v>
      </c>
      <c r="D59" s="10" t="s">
        <v>77</v>
      </c>
      <c r="E59" s="15">
        <v>8.9718687518012654</v>
      </c>
      <c r="F59" s="15">
        <v>8.9718687518012654</v>
      </c>
      <c r="G59" s="15">
        <v>0</v>
      </c>
      <c r="H59" s="10" t="s">
        <v>263</v>
      </c>
      <c r="I59" s="12"/>
    </row>
    <row r="60" spans="1:9" ht="32.1" customHeight="1" x14ac:dyDescent="0.25">
      <c r="A60" s="10" t="s">
        <v>56</v>
      </c>
      <c r="B60" s="10" t="s">
        <v>58</v>
      </c>
      <c r="C60" s="10" t="s">
        <v>277</v>
      </c>
      <c r="D60" s="10" t="s">
        <v>83</v>
      </c>
      <c r="E60" s="15">
        <v>8.9718687518012654</v>
      </c>
      <c r="F60" s="15">
        <v>8.9718742477871203</v>
      </c>
      <c r="G60" s="15">
        <v>5.495985854864216E-6</v>
      </c>
      <c r="H60" s="10" t="s">
        <v>263</v>
      </c>
      <c r="I60" s="12"/>
    </row>
    <row r="61" spans="1:9" ht="32.1" customHeight="1" x14ac:dyDescent="0.25">
      <c r="A61" s="10" t="s">
        <v>56</v>
      </c>
      <c r="B61" s="10" t="s">
        <v>58</v>
      </c>
      <c r="C61" s="10" t="s">
        <v>277</v>
      </c>
      <c r="D61" s="10" t="s">
        <v>77</v>
      </c>
      <c r="E61" s="15">
        <v>8.9718687518012654</v>
      </c>
      <c r="F61" s="15">
        <v>8.9718687518008817</v>
      </c>
      <c r="G61" s="15">
        <v>-3.836930773104541E-13</v>
      </c>
      <c r="H61" s="10" t="s">
        <v>263</v>
      </c>
      <c r="I61" s="12"/>
    </row>
    <row r="62" spans="1:9" ht="32.1" customHeight="1" x14ac:dyDescent="0.25">
      <c r="A62" s="10" t="s">
        <v>56</v>
      </c>
      <c r="B62" s="10" t="s">
        <v>58</v>
      </c>
      <c r="C62" s="10" t="s">
        <v>278</v>
      </c>
      <c r="D62" s="10" t="s">
        <v>83</v>
      </c>
      <c r="E62" s="15">
        <v>8.9718687518012654</v>
      </c>
      <c r="F62" s="15">
        <v>9.0664059342693744</v>
      </c>
      <c r="G62" s="15">
        <v>9.4537182468108896E-2</v>
      </c>
      <c r="H62" s="10" t="s">
        <v>263</v>
      </c>
      <c r="I62" s="12"/>
    </row>
    <row r="63" spans="1:9" ht="32.1" customHeight="1" x14ac:dyDescent="0.25">
      <c r="A63" s="10" t="s">
        <v>56</v>
      </c>
      <c r="B63" s="10" t="s">
        <v>58</v>
      </c>
      <c r="C63" s="10" t="s">
        <v>278</v>
      </c>
      <c r="D63" s="10" t="s">
        <v>77</v>
      </c>
      <c r="E63" s="15">
        <v>8.9718687518012654</v>
      </c>
      <c r="F63" s="15">
        <v>8.8404274013798254</v>
      </c>
      <c r="G63" s="15">
        <v>-0.13144135042144001</v>
      </c>
      <c r="H63" s="10" t="s">
        <v>263</v>
      </c>
      <c r="I63" s="12"/>
    </row>
    <row r="64" spans="1:9" ht="32.1" customHeight="1" x14ac:dyDescent="0.25">
      <c r="A64" s="10" t="s">
        <v>56</v>
      </c>
      <c r="B64" s="10" t="s">
        <v>58</v>
      </c>
      <c r="C64" s="10" t="s">
        <v>279</v>
      </c>
      <c r="D64" s="10" t="s">
        <v>83</v>
      </c>
      <c r="E64" s="15">
        <v>8.9718687518012654</v>
      </c>
      <c r="F64" s="15">
        <v>7.5527867979657444</v>
      </c>
      <c r="G64" s="15">
        <v>-1.419081953835521</v>
      </c>
      <c r="H64" s="10" t="s">
        <v>263</v>
      </c>
      <c r="I64" s="12"/>
    </row>
    <row r="65" spans="1:9" ht="32.1" customHeight="1" x14ac:dyDescent="0.25">
      <c r="A65" s="10" t="s">
        <v>56</v>
      </c>
      <c r="B65" s="10" t="s">
        <v>58</v>
      </c>
      <c r="C65" s="10" t="s">
        <v>279</v>
      </c>
      <c r="D65" s="10" t="s">
        <v>77</v>
      </c>
      <c r="E65" s="15">
        <v>8.9718687518012654</v>
      </c>
      <c r="F65" s="15">
        <v>8.6243112326483633</v>
      </c>
      <c r="G65" s="15">
        <v>-0.34755751915290212</v>
      </c>
      <c r="H65" s="10" t="s">
        <v>263</v>
      </c>
      <c r="I65" s="12"/>
    </row>
    <row r="66" spans="1:9" ht="32.1" customHeight="1" x14ac:dyDescent="0.25">
      <c r="A66" s="10" t="s">
        <v>56</v>
      </c>
      <c r="B66" s="10" t="s">
        <v>58</v>
      </c>
      <c r="C66" s="10" t="s">
        <v>280</v>
      </c>
      <c r="D66" s="10" t="s">
        <v>83</v>
      </c>
      <c r="E66" s="15">
        <v>8.9718687518012654</v>
      </c>
      <c r="F66" s="15">
        <v>8.9718687518012654</v>
      </c>
      <c r="G66" s="15">
        <v>0</v>
      </c>
      <c r="H66" s="10" t="s">
        <v>263</v>
      </c>
      <c r="I66" s="12"/>
    </row>
    <row r="67" spans="1:9" ht="32.1" customHeight="1" x14ac:dyDescent="0.25">
      <c r="A67" s="10" t="s">
        <v>56</v>
      </c>
      <c r="B67" s="10" t="s">
        <v>58</v>
      </c>
      <c r="C67" s="10" t="s">
        <v>280</v>
      </c>
      <c r="D67" s="10" t="s">
        <v>77</v>
      </c>
      <c r="E67" s="15">
        <v>8.9718687518012654</v>
      </c>
      <c r="F67" s="15">
        <v>25.790205779763291</v>
      </c>
      <c r="G67" s="15">
        <v>16.818337027962031</v>
      </c>
      <c r="H67" s="10" t="s">
        <v>263</v>
      </c>
      <c r="I67" s="12"/>
    </row>
    <row r="68" spans="1:9" ht="32.1" customHeight="1" x14ac:dyDescent="0.25">
      <c r="A68" s="10" t="s">
        <v>56</v>
      </c>
      <c r="B68" s="10" t="s">
        <v>58</v>
      </c>
      <c r="C68" s="10" t="s">
        <v>281</v>
      </c>
      <c r="D68" s="10" t="s">
        <v>83</v>
      </c>
      <c r="E68" s="15">
        <v>8.9718687518012654</v>
      </c>
      <c r="F68" s="15">
        <v>4.4859343759006327</v>
      </c>
      <c r="G68" s="15">
        <v>-4.4859343759006327</v>
      </c>
      <c r="H68" s="10" t="s">
        <v>263</v>
      </c>
      <c r="I68" s="12"/>
    </row>
    <row r="69" spans="1:9" ht="32.1" customHeight="1" x14ac:dyDescent="0.25">
      <c r="A69" s="10" t="s">
        <v>56</v>
      </c>
      <c r="B69" s="10" t="s">
        <v>58</v>
      </c>
      <c r="C69" s="10" t="s">
        <v>281</v>
      </c>
      <c r="D69" s="10" t="s">
        <v>77</v>
      </c>
      <c r="E69" s="15">
        <v>8.9718687518012654</v>
      </c>
      <c r="F69" s="15">
        <v>13.457803127701901</v>
      </c>
      <c r="G69" s="15">
        <v>4.4859343759006336</v>
      </c>
      <c r="H69" s="10" t="s">
        <v>263</v>
      </c>
      <c r="I69" s="12"/>
    </row>
    <row r="70" spans="1:9" ht="32.1" customHeight="1" x14ac:dyDescent="0.25">
      <c r="A70" s="10" t="s">
        <v>56</v>
      </c>
      <c r="B70" s="10" t="s">
        <v>58</v>
      </c>
      <c r="C70" s="10" t="s">
        <v>282</v>
      </c>
      <c r="D70" s="10" t="s">
        <v>83</v>
      </c>
      <c r="E70" s="15">
        <v>8.9718687518012654</v>
      </c>
      <c r="F70" s="15">
        <v>8.9718687518012654</v>
      </c>
      <c r="G70" s="15">
        <v>0</v>
      </c>
      <c r="H70" s="10" t="s">
        <v>263</v>
      </c>
      <c r="I70" s="12"/>
    </row>
    <row r="71" spans="1:9" ht="32.1" customHeight="1" x14ac:dyDescent="0.25">
      <c r="A71" s="10" t="s">
        <v>56</v>
      </c>
      <c r="B71" s="10" t="s">
        <v>58</v>
      </c>
      <c r="C71" s="10" t="s">
        <v>282</v>
      </c>
      <c r="D71" s="10" t="s">
        <v>77</v>
      </c>
      <c r="E71" s="15">
        <v>8.9718687518012654</v>
      </c>
      <c r="F71" s="15">
        <v>8.9718687518012654</v>
      </c>
      <c r="G71" s="15">
        <v>0</v>
      </c>
      <c r="H71" s="10" t="s">
        <v>263</v>
      </c>
      <c r="I71" s="12"/>
    </row>
  </sheetData>
  <mergeCells count="3">
    <mergeCell ref="A1:I1"/>
    <mergeCell ref="A3:I3"/>
    <mergeCell ref="A2:I2"/>
  </mergeCells>
  <pageMargins left="0.75" right="0.75" top="1" bottom="1" header="0.5" footer="0.5"/>
  <pageSetup paperSize="8" fitToHeight="0" orientation="landscape"/>
  <headerFooter>
    <oddFooter>&amp;CDEMO | &amp;A | &amp;P / &amp;N</oddFooter>
  </headerFooter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J24"/>
  <sheetViews>
    <sheetView showGridLines="0"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26" customWidth="1"/>
    <col min="3" max="3" width="42" customWidth="1"/>
    <col min="4" max="4" width="26" customWidth="1"/>
    <col min="5" max="5" width="21" customWidth="1"/>
    <col min="6" max="8" width="26" customWidth="1"/>
    <col min="9" max="9" width="42" customWidth="1"/>
    <col min="10" max="10" width="26" customWidth="1"/>
  </cols>
  <sheetData>
    <row r="1" spans="1:10" ht="33.950000000000003" customHeight="1" x14ac:dyDescent="0.25">
      <c r="A1" s="25" t="s">
        <v>283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30" customHeight="1" x14ac:dyDescent="0.25">
      <c r="A2" s="21" t="s">
        <v>1</v>
      </c>
      <c r="B2" s="22"/>
      <c r="C2" s="22"/>
      <c r="D2" s="22"/>
      <c r="E2" s="22"/>
      <c r="F2" s="22"/>
      <c r="G2" s="22"/>
      <c r="H2" s="22"/>
      <c r="I2" s="22"/>
      <c r="J2" s="22"/>
    </row>
    <row r="3" spans="1:10" ht="30" customHeight="1" x14ac:dyDescent="0.25">
      <c r="A3" s="26" t="s">
        <v>284</v>
      </c>
      <c r="B3" s="22"/>
      <c r="C3" s="22"/>
      <c r="D3" s="22"/>
      <c r="E3" s="22"/>
      <c r="F3" s="22"/>
      <c r="G3" s="22"/>
      <c r="H3" s="22"/>
      <c r="I3" s="22"/>
      <c r="J3" s="22"/>
    </row>
    <row r="5" spans="1:10" ht="36" customHeight="1" x14ac:dyDescent="0.25">
      <c r="A5" s="2" t="s">
        <v>285</v>
      </c>
      <c r="B5" s="2" t="s">
        <v>286</v>
      </c>
      <c r="C5" s="2" t="s">
        <v>287</v>
      </c>
      <c r="D5" s="2" t="s">
        <v>288</v>
      </c>
      <c r="E5" s="2" t="s">
        <v>289</v>
      </c>
      <c r="F5" s="2" t="s">
        <v>290</v>
      </c>
      <c r="G5" s="2" t="s">
        <v>291</v>
      </c>
      <c r="H5" s="2" t="s">
        <v>292</v>
      </c>
      <c r="I5" s="2" t="s">
        <v>293</v>
      </c>
      <c r="J5" s="2" t="s">
        <v>53</v>
      </c>
    </row>
    <row r="6" spans="1:10" ht="60" customHeight="1" x14ac:dyDescent="0.25">
      <c r="A6" s="10" t="s">
        <v>294</v>
      </c>
      <c r="B6" s="10" t="s">
        <v>295</v>
      </c>
      <c r="C6" s="10" t="s">
        <v>296</v>
      </c>
      <c r="D6" s="10" t="s">
        <v>297</v>
      </c>
      <c r="E6" s="19">
        <v>8.2666139999999999E-2</v>
      </c>
      <c r="F6" s="10" t="s">
        <v>298</v>
      </c>
      <c r="G6" s="10" t="s">
        <v>299</v>
      </c>
      <c r="H6" s="13"/>
      <c r="I6" s="14" t="s">
        <v>300</v>
      </c>
      <c r="J6" s="10" t="s">
        <v>301</v>
      </c>
    </row>
    <row r="7" spans="1:10" ht="60" customHeight="1" x14ac:dyDescent="0.25">
      <c r="A7" s="10" t="s">
        <v>302</v>
      </c>
      <c r="B7" s="10" t="s">
        <v>303</v>
      </c>
      <c r="C7" s="10" t="s">
        <v>304</v>
      </c>
      <c r="D7" s="10" t="s">
        <v>305</v>
      </c>
      <c r="E7" s="19">
        <v>3.3599999999999997E-5</v>
      </c>
      <c r="F7" s="10" t="s">
        <v>298</v>
      </c>
      <c r="G7" s="10" t="s">
        <v>299</v>
      </c>
      <c r="H7" s="13"/>
      <c r="I7" s="14" t="s">
        <v>306</v>
      </c>
      <c r="J7" s="10" t="s">
        <v>301</v>
      </c>
    </row>
    <row r="8" spans="1:10" ht="60" customHeight="1" x14ac:dyDescent="0.25">
      <c r="A8" s="10" t="s">
        <v>307</v>
      </c>
      <c r="B8" s="10" t="s">
        <v>303</v>
      </c>
      <c r="C8" s="10" t="s">
        <v>308</v>
      </c>
      <c r="D8" s="10" t="s">
        <v>309</v>
      </c>
      <c r="E8" s="19">
        <v>3.4999999999999999E-6</v>
      </c>
      <c r="F8" s="10" t="s">
        <v>298</v>
      </c>
      <c r="G8" s="10" t="s">
        <v>299</v>
      </c>
      <c r="H8" s="13"/>
      <c r="I8" s="14" t="s">
        <v>306</v>
      </c>
      <c r="J8" s="10" t="s">
        <v>301</v>
      </c>
    </row>
    <row r="9" spans="1:10" ht="60" customHeight="1" x14ac:dyDescent="0.25">
      <c r="A9" s="10" t="s">
        <v>310</v>
      </c>
      <c r="B9" s="10" t="s">
        <v>303</v>
      </c>
      <c r="C9" s="10" t="s">
        <v>311</v>
      </c>
      <c r="D9" s="10" t="s">
        <v>305</v>
      </c>
      <c r="E9" s="19">
        <v>3.4999999999999999E-6</v>
      </c>
      <c r="F9" s="10" t="s">
        <v>298</v>
      </c>
      <c r="G9" s="10" t="s">
        <v>299</v>
      </c>
      <c r="H9" s="13"/>
      <c r="I9" s="14" t="s">
        <v>306</v>
      </c>
      <c r="J9" s="10" t="s">
        <v>301</v>
      </c>
    </row>
    <row r="10" spans="1:10" ht="60" customHeight="1" x14ac:dyDescent="0.25">
      <c r="A10" s="10" t="s">
        <v>312</v>
      </c>
      <c r="B10" s="10" t="s">
        <v>303</v>
      </c>
      <c r="C10" s="10" t="s">
        <v>313</v>
      </c>
      <c r="D10" s="10" t="s">
        <v>309</v>
      </c>
      <c r="E10" s="19">
        <v>3.4999999999999999E-6</v>
      </c>
      <c r="F10" s="10" t="s">
        <v>298</v>
      </c>
      <c r="G10" s="10" t="s">
        <v>299</v>
      </c>
      <c r="H10" s="13"/>
      <c r="I10" s="14" t="s">
        <v>306</v>
      </c>
      <c r="J10" s="10" t="s">
        <v>301</v>
      </c>
    </row>
    <row r="11" spans="1:10" ht="60" customHeight="1" x14ac:dyDescent="0.25">
      <c r="A11" s="10" t="s">
        <v>314</v>
      </c>
      <c r="B11" s="10" t="s">
        <v>303</v>
      </c>
      <c r="C11" s="10" t="s">
        <v>315</v>
      </c>
      <c r="D11" s="10" t="s">
        <v>305</v>
      </c>
      <c r="E11" s="19">
        <v>2.16E-5</v>
      </c>
      <c r="F11" s="10" t="s">
        <v>298</v>
      </c>
      <c r="G11" s="10" t="s">
        <v>299</v>
      </c>
      <c r="H11" s="13"/>
      <c r="I11" s="14" t="s">
        <v>306</v>
      </c>
      <c r="J11" s="10" t="s">
        <v>301</v>
      </c>
    </row>
    <row r="12" spans="1:10" ht="60" customHeight="1" x14ac:dyDescent="0.25">
      <c r="A12" s="10" t="s">
        <v>316</v>
      </c>
      <c r="B12" s="10" t="s">
        <v>303</v>
      </c>
      <c r="C12" s="10" t="s">
        <v>317</v>
      </c>
      <c r="D12" s="10" t="s">
        <v>309</v>
      </c>
      <c r="E12" s="19">
        <v>2.3999999999999999E-6</v>
      </c>
      <c r="F12" s="10" t="s">
        <v>298</v>
      </c>
      <c r="G12" s="10" t="s">
        <v>299</v>
      </c>
      <c r="H12" s="13"/>
      <c r="I12" s="14" t="s">
        <v>306</v>
      </c>
      <c r="J12" s="10" t="s">
        <v>301</v>
      </c>
    </row>
    <row r="13" spans="1:10" ht="60" customHeight="1" x14ac:dyDescent="0.25">
      <c r="A13" s="10" t="s">
        <v>318</v>
      </c>
      <c r="B13" s="10" t="s">
        <v>303</v>
      </c>
      <c r="C13" s="10" t="s">
        <v>319</v>
      </c>
      <c r="D13" s="10" t="s">
        <v>320</v>
      </c>
      <c r="E13" s="19">
        <v>3.9999999999999998E-7</v>
      </c>
      <c r="F13" s="10" t="s">
        <v>298</v>
      </c>
      <c r="G13" s="10" t="s">
        <v>299</v>
      </c>
      <c r="H13" s="13"/>
      <c r="I13" s="14" t="s">
        <v>306</v>
      </c>
      <c r="J13" s="10" t="s">
        <v>301</v>
      </c>
    </row>
    <row r="14" spans="1:10" ht="60" customHeight="1" x14ac:dyDescent="0.25">
      <c r="A14" s="10" t="s">
        <v>226</v>
      </c>
      <c r="B14" s="10" t="s">
        <v>321</v>
      </c>
      <c r="C14" s="10" t="s">
        <v>322</v>
      </c>
      <c r="D14" s="10" t="s">
        <v>323</v>
      </c>
      <c r="E14" s="19">
        <v>3.6899999999999998E-7</v>
      </c>
      <c r="F14" s="10" t="s">
        <v>298</v>
      </c>
      <c r="G14" s="10" t="s">
        <v>299</v>
      </c>
      <c r="H14" s="13"/>
      <c r="I14" s="14" t="s">
        <v>324</v>
      </c>
      <c r="J14" s="10" t="s">
        <v>301</v>
      </c>
    </row>
    <row r="15" spans="1:10" ht="60" customHeight="1" x14ac:dyDescent="0.25">
      <c r="A15" s="10" t="s">
        <v>227</v>
      </c>
      <c r="B15" s="10" t="s">
        <v>321</v>
      </c>
      <c r="C15" s="10" t="s">
        <v>325</v>
      </c>
      <c r="D15" s="10" t="s">
        <v>323</v>
      </c>
      <c r="E15" s="19">
        <v>1.1069999999999999E-6</v>
      </c>
      <c r="F15" s="10" t="s">
        <v>298</v>
      </c>
      <c r="G15" s="10" t="s">
        <v>299</v>
      </c>
      <c r="H15" s="13"/>
      <c r="I15" s="14" t="s">
        <v>324</v>
      </c>
      <c r="J15" s="10" t="s">
        <v>301</v>
      </c>
    </row>
    <row r="16" spans="1:10" ht="60" customHeight="1" x14ac:dyDescent="0.25">
      <c r="A16" s="10" t="s">
        <v>228</v>
      </c>
      <c r="B16" s="10" t="s">
        <v>321</v>
      </c>
      <c r="C16" s="10" t="s">
        <v>326</v>
      </c>
      <c r="D16" s="10" t="s">
        <v>323</v>
      </c>
      <c r="E16" s="19">
        <v>1.23E-7</v>
      </c>
      <c r="F16" s="10" t="s">
        <v>298</v>
      </c>
      <c r="G16" s="10" t="s">
        <v>299</v>
      </c>
      <c r="H16" s="13"/>
      <c r="I16" s="14" t="s">
        <v>324</v>
      </c>
      <c r="J16" s="10" t="s">
        <v>301</v>
      </c>
    </row>
    <row r="17" spans="1:10" ht="60" customHeight="1" x14ac:dyDescent="0.25">
      <c r="A17" s="10" t="s">
        <v>229</v>
      </c>
      <c r="B17" s="10" t="s">
        <v>321</v>
      </c>
      <c r="C17" s="10" t="s">
        <v>327</v>
      </c>
      <c r="D17" s="10" t="s">
        <v>328</v>
      </c>
      <c r="E17" s="19">
        <v>0.18459999999999999</v>
      </c>
      <c r="F17" s="10" t="s">
        <v>298</v>
      </c>
      <c r="G17" s="10" t="s">
        <v>299</v>
      </c>
      <c r="H17" s="13"/>
      <c r="I17" s="14" t="s">
        <v>324</v>
      </c>
      <c r="J17" s="10" t="s">
        <v>301</v>
      </c>
    </row>
    <row r="18" spans="1:10" ht="60" customHeight="1" x14ac:dyDescent="0.25">
      <c r="A18" s="10" t="s">
        <v>329</v>
      </c>
      <c r="B18" s="10" t="s">
        <v>295</v>
      </c>
      <c r="C18" s="10" t="s">
        <v>330</v>
      </c>
      <c r="D18" s="10" t="s">
        <v>328</v>
      </c>
      <c r="E18" s="19">
        <v>4.3999999999999997E-2</v>
      </c>
      <c r="F18" s="10" t="s">
        <v>298</v>
      </c>
      <c r="G18" s="10" t="s">
        <v>299</v>
      </c>
      <c r="H18" s="13"/>
      <c r="I18" s="14" t="s">
        <v>331</v>
      </c>
      <c r="J18" s="10" t="s">
        <v>301</v>
      </c>
    </row>
    <row r="19" spans="1:10" ht="60" customHeight="1" x14ac:dyDescent="0.25">
      <c r="A19" s="10" t="s">
        <v>332</v>
      </c>
      <c r="B19" s="10" t="s">
        <v>333</v>
      </c>
      <c r="C19" s="10" t="s">
        <v>334</v>
      </c>
      <c r="D19" s="10" t="s">
        <v>335</v>
      </c>
      <c r="E19" s="20"/>
      <c r="F19" s="10" t="s">
        <v>298</v>
      </c>
      <c r="G19" s="10" t="s">
        <v>299</v>
      </c>
      <c r="H19" s="13"/>
      <c r="I19" s="14" t="s">
        <v>336</v>
      </c>
      <c r="J19" s="10" t="s">
        <v>337</v>
      </c>
    </row>
    <row r="20" spans="1:10" ht="60" customHeight="1" x14ac:dyDescent="0.25">
      <c r="A20" s="10" t="s">
        <v>338</v>
      </c>
      <c r="B20" s="10" t="s">
        <v>339</v>
      </c>
      <c r="C20" s="10" t="s">
        <v>340</v>
      </c>
      <c r="D20" s="10" t="s">
        <v>341</v>
      </c>
      <c r="E20" s="20"/>
      <c r="F20" s="10" t="s">
        <v>298</v>
      </c>
      <c r="G20" s="10" t="s">
        <v>299</v>
      </c>
      <c r="H20" s="13"/>
      <c r="I20" s="14" t="s">
        <v>336</v>
      </c>
      <c r="J20" s="10" t="s">
        <v>337</v>
      </c>
    </row>
    <row r="21" spans="1:10" ht="60" customHeight="1" x14ac:dyDescent="0.25">
      <c r="A21" s="10" t="s">
        <v>342</v>
      </c>
      <c r="B21" s="10" t="s">
        <v>343</v>
      </c>
      <c r="C21" s="10" t="s">
        <v>344</v>
      </c>
      <c r="D21" s="10" t="s">
        <v>341</v>
      </c>
      <c r="E21" s="20"/>
      <c r="F21" s="10" t="s">
        <v>298</v>
      </c>
      <c r="G21" s="10" t="s">
        <v>299</v>
      </c>
      <c r="H21" s="13"/>
      <c r="I21" s="14" t="s">
        <v>345</v>
      </c>
      <c r="J21" s="10" t="s">
        <v>337</v>
      </c>
    </row>
    <row r="22" spans="1:10" ht="60" customHeight="1" x14ac:dyDescent="0.25">
      <c r="A22" s="10" t="s">
        <v>346</v>
      </c>
      <c r="B22" s="10" t="s">
        <v>343</v>
      </c>
      <c r="C22" s="10" t="s">
        <v>347</v>
      </c>
      <c r="D22" s="10" t="s">
        <v>348</v>
      </c>
      <c r="E22" s="20"/>
      <c r="F22" s="10" t="s">
        <v>298</v>
      </c>
      <c r="G22" s="10" t="s">
        <v>299</v>
      </c>
      <c r="H22" s="13"/>
      <c r="I22" s="14" t="s">
        <v>345</v>
      </c>
      <c r="J22" s="10" t="s">
        <v>337</v>
      </c>
    </row>
    <row r="23" spans="1:10" ht="60" customHeight="1" x14ac:dyDescent="0.25">
      <c r="A23" s="10" t="s">
        <v>349</v>
      </c>
      <c r="B23" s="10" t="s">
        <v>350</v>
      </c>
      <c r="C23" s="10" t="s">
        <v>351</v>
      </c>
      <c r="D23" s="10" t="s">
        <v>352</v>
      </c>
      <c r="E23" s="20"/>
      <c r="F23" s="10" t="s">
        <v>298</v>
      </c>
      <c r="G23" s="10" t="s">
        <v>299</v>
      </c>
      <c r="H23" s="13"/>
      <c r="I23" s="14" t="s">
        <v>353</v>
      </c>
      <c r="J23" s="10" t="s">
        <v>337</v>
      </c>
    </row>
    <row r="24" spans="1:10" ht="60" customHeight="1" x14ac:dyDescent="0.25">
      <c r="A24" s="10" t="s">
        <v>354</v>
      </c>
      <c r="B24" s="10" t="s">
        <v>355</v>
      </c>
      <c r="C24" s="10" t="s">
        <v>356</v>
      </c>
      <c r="D24" s="10" t="s">
        <v>328</v>
      </c>
      <c r="E24" s="20"/>
      <c r="F24" s="10" t="s">
        <v>298</v>
      </c>
      <c r="G24" s="10" t="s">
        <v>299</v>
      </c>
      <c r="H24" s="13"/>
      <c r="I24" s="14" t="s">
        <v>357</v>
      </c>
      <c r="J24" s="10" t="s">
        <v>337</v>
      </c>
    </row>
  </sheetData>
  <mergeCells count="3">
    <mergeCell ref="A1:J1"/>
    <mergeCell ref="A3:J3"/>
    <mergeCell ref="A2:J2"/>
  </mergeCells>
  <hyperlinks>
    <hyperlink ref="I6" r:id="rId1" xr:uid="{00000000-0004-0000-0A00-000000000000}"/>
    <hyperlink ref="I7" r:id="rId2" xr:uid="{00000000-0004-0000-0A00-000001000000}"/>
    <hyperlink ref="I8" r:id="rId3" xr:uid="{00000000-0004-0000-0A00-000002000000}"/>
    <hyperlink ref="I9" r:id="rId4" xr:uid="{00000000-0004-0000-0A00-000003000000}"/>
    <hyperlink ref="I10" r:id="rId5" xr:uid="{00000000-0004-0000-0A00-000004000000}"/>
    <hyperlink ref="I11" r:id="rId6" xr:uid="{00000000-0004-0000-0A00-000005000000}"/>
    <hyperlink ref="I12" r:id="rId7" xr:uid="{00000000-0004-0000-0A00-000006000000}"/>
    <hyperlink ref="I13" r:id="rId8" xr:uid="{00000000-0004-0000-0A00-000007000000}"/>
    <hyperlink ref="I14" r:id="rId9" xr:uid="{00000000-0004-0000-0A00-000008000000}"/>
    <hyperlink ref="I15" r:id="rId10" xr:uid="{00000000-0004-0000-0A00-000009000000}"/>
    <hyperlink ref="I16" r:id="rId11" xr:uid="{00000000-0004-0000-0A00-00000A000000}"/>
    <hyperlink ref="I17" r:id="rId12" xr:uid="{00000000-0004-0000-0A00-00000B000000}"/>
    <hyperlink ref="I18" r:id="rId13" xr:uid="{00000000-0004-0000-0A00-00000C000000}"/>
    <hyperlink ref="I19" r:id="rId14" xr:uid="{00000000-0004-0000-0A00-00000D000000}"/>
    <hyperlink ref="I20" r:id="rId15" xr:uid="{00000000-0004-0000-0A00-00000E000000}"/>
    <hyperlink ref="I21" r:id="rId16" xr:uid="{00000000-0004-0000-0A00-00000F000000}"/>
    <hyperlink ref="I22" r:id="rId17" xr:uid="{00000000-0004-0000-0A00-000010000000}"/>
    <hyperlink ref="I23" r:id="rId18" xr:uid="{00000000-0004-0000-0A00-000011000000}"/>
    <hyperlink ref="I24" r:id="rId19" xr:uid="{00000000-0004-0000-0A00-000012000000}"/>
  </hyperlinks>
  <pageMargins left="0.75" right="0.75" top="1" bottom="1" header="0.5" footer="0.5"/>
  <pageSetup paperSize="8" fitToHeight="0" orientation="landscape"/>
  <headerFooter>
    <oddFooter>&amp;CDEMO | &amp;A | &amp;P / &amp;N</oddFooter>
  </headerFooter>
  <legacyDrawing r:id="rId20"/>
  <tableParts count="1">
    <tablePart r:id="rId2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H82"/>
  <sheetViews>
    <sheetView showGridLines="0"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2" customWidth="1"/>
    <col min="2" max="2" width="25" customWidth="1"/>
    <col min="3" max="3" width="44" customWidth="1"/>
    <col min="4" max="4" width="75" customWidth="1"/>
  </cols>
  <sheetData>
    <row r="1" spans="1:8" ht="33.950000000000003" customHeight="1" x14ac:dyDescent="0.25">
      <c r="A1" s="25" t="s">
        <v>358</v>
      </c>
      <c r="B1" s="22"/>
      <c r="C1" s="22"/>
      <c r="D1" s="22"/>
      <c r="E1" s="22"/>
      <c r="F1" s="22"/>
      <c r="G1" s="22"/>
      <c r="H1" s="22"/>
    </row>
    <row r="2" spans="1:8" ht="30" customHeight="1" x14ac:dyDescent="0.25">
      <c r="A2" s="21" t="s">
        <v>1</v>
      </c>
      <c r="B2" s="22"/>
      <c r="C2" s="22"/>
      <c r="D2" s="22"/>
      <c r="E2" s="22"/>
      <c r="F2" s="22"/>
      <c r="G2" s="22"/>
      <c r="H2" s="22"/>
    </row>
    <row r="3" spans="1:8" ht="30" customHeight="1" x14ac:dyDescent="0.25">
      <c r="A3" s="26" t="s">
        <v>359</v>
      </c>
      <c r="B3" s="22"/>
      <c r="C3" s="22"/>
      <c r="D3" s="22"/>
      <c r="E3" s="22"/>
      <c r="F3" s="22"/>
      <c r="G3" s="22"/>
      <c r="H3" s="22"/>
    </row>
    <row r="5" spans="1:8" ht="36" customHeight="1" x14ac:dyDescent="0.25">
      <c r="A5" s="2" t="s">
        <v>266</v>
      </c>
      <c r="B5" s="2" t="s">
        <v>360</v>
      </c>
      <c r="C5" s="2" t="s">
        <v>361</v>
      </c>
      <c r="D5" s="2" t="s">
        <v>271</v>
      </c>
    </row>
    <row r="6" spans="1:8" ht="44.1" customHeight="1" x14ac:dyDescent="0.25">
      <c r="A6" s="10" t="s">
        <v>22</v>
      </c>
      <c r="B6" s="10" t="s">
        <v>56</v>
      </c>
      <c r="C6" s="10" t="s">
        <v>362</v>
      </c>
      <c r="D6" s="10" t="s">
        <v>363</v>
      </c>
    </row>
    <row r="7" spans="1:8" ht="44.1" customHeight="1" x14ac:dyDescent="0.25">
      <c r="A7" s="10" t="s">
        <v>364</v>
      </c>
      <c r="B7" s="10" t="s">
        <v>1</v>
      </c>
      <c r="C7" s="10" t="s">
        <v>362</v>
      </c>
      <c r="D7" s="10" t="s">
        <v>363</v>
      </c>
    </row>
    <row r="8" spans="1:8" ht="44.1" customHeight="1" x14ac:dyDescent="0.25">
      <c r="A8" s="10" t="s">
        <v>365</v>
      </c>
      <c r="B8" s="11">
        <v>100000</v>
      </c>
      <c r="C8" s="10" t="s">
        <v>362</v>
      </c>
      <c r="D8" s="10" t="s">
        <v>363</v>
      </c>
    </row>
    <row r="9" spans="1:8" ht="44.1" customHeight="1" x14ac:dyDescent="0.25">
      <c r="A9" s="10" t="s">
        <v>366</v>
      </c>
      <c r="B9" s="11">
        <v>2000000</v>
      </c>
      <c r="C9" s="10" t="s">
        <v>362</v>
      </c>
      <c r="D9" s="10" t="s">
        <v>363</v>
      </c>
    </row>
    <row r="10" spans="1:8" ht="44.1" customHeight="1" x14ac:dyDescent="0.25">
      <c r="A10" s="10" t="s">
        <v>367</v>
      </c>
      <c r="B10" s="11">
        <v>20000000</v>
      </c>
      <c r="C10" s="10" t="s">
        <v>362</v>
      </c>
      <c r="D10" s="10" t="s">
        <v>363</v>
      </c>
    </row>
    <row r="11" spans="1:8" ht="44.1" customHeight="1" x14ac:dyDescent="0.25">
      <c r="A11" s="10" t="s">
        <v>368</v>
      </c>
      <c r="B11" s="12">
        <v>0.7</v>
      </c>
      <c r="C11" s="10" t="s">
        <v>362</v>
      </c>
      <c r="D11" s="10" t="s">
        <v>363</v>
      </c>
    </row>
    <row r="12" spans="1:8" ht="44.1" customHeight="1" x14ac:dyDescent="0.25">
      <c r="A12" s="10" t="s">
        <v>369</v>
      </c>
      <c r="B12" s="12">
        <v>0.2</v>
      </c>
      <c r="C12" s="10" t="s">
        <v>362</v>
      </c>
      <c r="D12" s="10" t="s">
        <v>363</v>
      </c>
    </row>
    <row r="13" spans="1:8" ht="44.1" customHeight="1" x14ac:dyDescent="0.25">
      <c r="A13" s="10" t="s">
        <v>370</v>
      </c>
      <c r="B13" s="12">
        <v>0.1</v>
      </c>
      <c r="C13" s="10" t="s">
        <v>362</v>
      </c>
      <c r="D13" s="10" t="s">
        <v>363</v>
      </c>
    </row>
    <row r="14" spans="1:8" ht="44.1" customHeight="1" x14ac:dyDescent="0.25">
      <c r="A14" s="10" t="s">
        <v>371</v>
      </c>
      <c r="B14" s="12">
        <v>0.04</v>
      </c>
      <c r="C14" s="10" t="s">
        <v>362</v>
      </c>
      <c r="D14" s="10" t="s">
        <v>363</v>
      </c>
    </row>
    <row r="15" spans="1:8" ht="44.1" customHeight="1" x14ac:dyDescent="0.25">
      <c r="A15" s="10" t="s">
        <v>372</v>
      </c>
      <c r="B15" s="12">
        <v>0.06</v>
      </c>
      <c r="C15" s="10" t="s">
        <v>362</v>
      </c>
      <c r="D15" s="10" t="s">
        <v>363</v>
      </c>
    </row>
    <row r="16" spans="1:8" ht="44.1" customHeight="1" x14ac:dyDescent="0.25">
      <c r="A16" s="10" t="s">
        <v>373</v>
      </c>
      <c r="B16" s="12">
        <v>0.15</v>
      </c>
      <c r="C16" s="10" t="s">
        <v>362</v>
      </c>
      <c r="D16" s="10" t="s">
        <v>363</v>
      </c>
    </row>
    <row r="17" spans="1:4" ht="44.1" customHeight="1" x14ac:dyDescent="0.25">
      <c r="A17" s="10" t="s">
        <v>374</v>
      </c>
      <c r="B17" s="12">
        <v>2E-3</v>
      </c>
      <c r="C17" s="10" t="s">
        <v>362</v>
      </c>
      <c r="D17" s="10" t="s">
        <v>363</v>
      </c>
    </row>
    <row r="18" spans="1:4" ht="44.1" customHeight="1" x14ac:dyDescent="0.25">
      <c r="A18" s="10" t="s">
        <v>375</v>
      </c>
      <c r="B18" s="12">
        <v>4.0000000000000001E-3</v>
      </c>
      <c r="C18" s="10" t="s">
        <v>362</v>
      </c>
      <c r="D18" s="10" t="s">
        <v>363</v>
      </c>
    </row>
    <row r="19" spans="1:4" ht="44.1" customHeight="1" x14ac:dyDescent="0.25">
      <c r="A19" s="10" t="s">
        <v>376</v>
      </c>
      <c r="B19" s="12">
        <v>0.12</v>
      </c>
      <c r="C19" s="10" t="s">
        <v>362</v>
      </c>
      <c r="D19" s="10" t="s">
        <v>363</v>
      </c>
    </row>
    <row r="20" spans="1:4" ht="44.1" customHeight="1" x14ac:dyDescent="0.25">
      <c r="A20" s="10" t="s">
        <v>377</v>
      </c>
      <c r="B20" s="11">
        <v>30</v>
      </c>
      <c r="C20" s="10" t="s">
        <v>362</v>
      </c>
      <c r="D20" s="10" t="s">
        <v>363</v>
      </c>
    </row>
    <row r="21" spans="1:4" ht="44.1" customHeight="1" x14ac:dyDescent="0.25">
      <c r="A21" s="10" t="s">
        <v>378</v>
      </c>
      <c r="B21" s="11">
        <v>730</v>
      </c>
      <c r="C21" s="10" t="s">
        <v>362</v>
      </c>
      <c r="D21" s="10" t="s">
        <v>363</v>
      </c>
    </row>
    <row r="22" spans="1:4" ht="44.1" customHeight="1" x14ac:dyDescent="0.25">
      <c r="A22" s="10" t="s">
        <v>379</v>
      </c>
      <c r="B22" s="10" t="s">
        <v>380</v>
      </c>
      <c r="C22" s="10" t="s">
        <v>362</v>
      </c>
      <c r="D22" s="10" t="s">
        <v>363</v>
      </c>
    </row>
    <row r="23" spans="1:4" ht="44.1" customHeight="1" x14ac:dyDescent="0.25">
      <c r="A23" s="10" t="s">
        <v>381</v>
      </c>
      <c r="B23" s="11">
        <v>8</v>
      </c>
      <c r="C23" s="10" t="s">
        <v>362</v>
      </c>
      <c r="D23" s="10" t="s">
        <v>363</v>
      </c>
    </row>
    <row r="24" spans="1:4" ht="44.1" customHeight="1" x14ac:dyDescent="0.25">
      <c r="A24" s="10" t="s">
        <v>382</v>
      </c>
      <c r="B24" s="11">
        <v>5</v>
      </c>
      <c r="C24" s="10" t="s">
        <v>362</v>
      </c>
      <c r="D24" s="10" t="s">
        <v>363</v>
      </c>
    </row>
    <row r="25" spans="1:4" ht="44.1" customHeight="1" x14ac:dyDescent="0.25">
      <c r="A25" s="10" t="s">
        <v>383</v>
      </c>
      <c r="B25" s="12">
        <v>0.5</v>
      </c>
      <c r="C25" s="10" t="s">
        <v>362</v>
      </c>
      <c r="D25" s="10" t="s">
        <v>363</v>
      </c>
    </row>
    <row r="26" spans="1:4" ht="44.1" customHeight="1" x14ac:dyDescent="0.25">
      <c r="A26" s="10" t="s">
        <v>384</v>
      </c>
      <c r="B26" s="11">
        <v>1024</v>
      </c>
      <c r="C26" s="10" t="s">
        <v>362</v>
      </c>
      <c r="D26" s="10" t="s">
        <v>363</v>
      </c>
    </row>
    <row r="27" spans="1:4" ht="44.1" customHeight="1" x14ac:dyDescent="0.25">
      <c r="A27" s="10" t="s">
        <v>385</v>
      </c>
      <c r="B27" s="11">
        <v>0</v>
      </c>
      <c r="C27" s="10" t="s">
        <v>362</v>
      </c>
      <c r="D27" s="10" t="s">
        <v>363</v>
      </c>
    </row>
    <row r="28" spans="1:4" ht="44.1" customHeight="1" x14ac:dyDescent="0.25">
      <c r="A28" s="10" t="s">
        <v>386</v>
      </c>
      <c r="B28" s="11">
        <v>1</v>
      </c>
      <c r="C28" s="10" t="s">
        <v>362</v>
      </c>
      <c r="D28" s="10" t="s">
        <v>363</v>
      </c>
    </row>
    <row r="29" spans="1:4" ht="44.1" customHeight="1" x14ac:dyDescent="0.25">
      <c r="A29" s="10" t="s">
        <v>387</v>
      </c>
      <c r="B29" s="11">
        <v>1</v>
      </c>
      <c r="C29" s="10" t="s">
        <v>362</v>
      </c>
      <c r="D29" s="10" t="s">
        <v>363</v>
      </c>
    </row>
    <row r="30" spans="1:4" ht="44.1" customHeight="1" x14ac:dyDescent="0.25">
      <c r="A30" s="10" t="s">
        <v>388</v>
      </c>
      <c r="B30" s="11">
        <v>0</v>
      </c>
      <c r="C30" s="10" t="s">
        <v>362</v>
      </c>
      <c r="D30" s="10" t="s">
        <v>363</v>
      </c>
    </row>
    <row r="31" spans="1:4" ht="44.1" customHeight="1" x14ac:dyDescent="0.25">
      <c r="A31" s="10" t="s">
        <v>389</v>
      </c>
      <c r="B31" s="11">
        <v>0</v>
      </c>
      <c r="C31" s="10" t="s">
        <v>362</v>
      </c>
      <c r="D31" s="10" t="s">
        <v>363</v>
      </c>
    </row>
    <row r="32" spans="1:4" ht="44.1" customHeight="1" x14ac:dyDescent="0.25">
      <c r="A32" s="10" t="s">
        <v>390</v>
      </c>
      <c r="B32" s="11">
        <v>1</v>
      </c>
      <c r="C32" s="10" t="s">
        <v>362</v>
      </c>
      <c r="D32" s="10" t="s">
        <v>363</v>
      </c>
    </row>
    <row r="33" spans="1:4" ht="44.1" customHeight="1" x14ac:dyDescent="0.25">
      <c r="A33" s="10" t="s">
        <v>391</v>
      </c>
      <c r="B33" s="11">
        <v>1</v>
      </c>
      <c r="C33" s="10" t="s">
        <v>362</v>
      </c>
      <c r="D33" s="10" t="s">
        <v>363</v>
      </c>
    </row>
    <row r="34" spans="1:4" ht="44.1" customHeight="1" x14ac:dyDescent="0.25">
      <c r="A34" s="10" t="s">
        <v>392</v>
      </c>
      <c r="B34" s="11">
        <v>0</v>
      </c>
      <c r="C34" s="10" t="s">
        <v>362</v>
      </c>
      <c r="D34" s="10" t="s">
        <v>363</v>
      </c>
    </row>
    <row r="35" spans="1:4" ht="44.1" customHeight="1" x14ac:dyDescent="0.25">
      <c r="A35" s="10" t="s">
        <v>393</v>
      </c>
      <c r="B35" s="11">
        <v>0</v>
      </c>
      <c r="C35" s="10" t="s">
        <v>362</v>
      </c>
      <c r="D35" s="10" t="s">
        <v>363</v>
      </c>
    </row>
    <row r="36" spans="1:4" ht="44.1" customHeight="1" x14ac:dyDescent="0.25">
      <c r="A36" s="10" t="s">
        <v>394</v>
      </c>
      <c r="B36" s="11">
        <v>10</v>
      </c>
      <c r="C36" s="10" t="s">
        <v>362</v>
      </c>
      <c r="D36" s="10" t="s">
        <v>363</v>
      </c>
    </row>
    <row r="37" spans="1:4" ht="44.1" customHeight="1" x14ac:dyDescent="0.25">
      <c r="A37" s="10" t="s">
        <v>395</v>
      </c>
      <c r="B37" s="11">
        <v>0</v>
      </c>
      <c r="C37" s="10" t="s">
        <v>362</v>
      </c>
      <c r="D37" s="10" t="s">
        <v>363</v>
      </c>
    </row>
    <row r="38" spans="1:4" ht="44.1" customHeight="1" x14ac:dyDescent="0.25">
      <c r="A38" s="10" t="s">
        <v>396</v>
      </c>
      <c r="B38" s="11">
        <v>0</v>
      </c>
      <c r="C38" s="10" t="s">
        <v>362</v>
      </c>
      <c r="D38" s="10" t="s">
        <v>363</v>
      </c>
    </row>
    <row r="39" spans="1:4" ht="44.1" customHeight="1" x14ac:dyDescent="0.25">
      <c r="A39" s="10" t="s">
        <v>397</v>
      </c>
      <c r="B39" s="11">
        <v>0</v>
      </c>
      <c r="C39" s="10" t="s">
        <v>362</v>
      </c>
      <c r="D39" s="10" t="s">
        <v>363</v>
      </c>
    </row>
    <row r="40" spans="1:4" ht="44.1" customHeight="1" x14ac:dyDescent="0.25">
      <c r="A40" s="10" t="s">
        <v>398</v>
      </c>
      <c r="B40" s="11">
        <v>0</v>
      </c>
      <c r="C40" s="10" t="s">
        <v>362</v>
      </c>
      <c r="D40" s="10" t="s">
        <v>363</v>
      </c>
    </row>
    <row r="41" spans="1:4" ht="44.1" customHeight="1" x14ac:dyDescent="0.25">
      <c r="A41" s="10" t="s">
        <v>399</v>
      </c>
      <c r="B41" s="11">
        <v>0</v>
      </c>
      <c r="C41" s="10" t="s">
        <v>362</v>
      </c>
      <c r="D41" s="10" t="s">
        <v>363</v>
      </c>
    </row>
    <row r="42" spans="1:4" ht="44.1" customHeight="1" x14ac:dyDescent="0.25">
      <c r="A42" s="10" t="s">
        <v>400</v>
      </c>
      <c r="B42" s="11">
        <v>0</v>
      </c>
      <c r="C42" s="10" t="s">
        <v>362</v>
      </c>
      <c r="D42" s="10" t="s">
        <v>363</v>
      </c>
    </row>
    <row r="43" spans="1:4" ht="44.1" customHeight="1" x14ac:dyDescent="0.25">
      <c r="A43" s="10" t="s">
        <v>401</v>
      </c>
      <c r="B43" s="11">
        <v>0</v>
      </c>
      <c r="C43" s="10" t="s">
        <v>362</v>
      </c>
      <c r="D43" s="10" t="s">
        <v>363</v>
      </c>
    </row>
    <row r="44" spans="1:4" ht="44.1" customHeight="1" x14ac:dyDescent="0.25">
      <c r="A44" s="10" t="s">
        <v>402</v>
      </c>
      <c r="B44" s="11">
        <v>0</v>
      </c>
      <c r="C44" s="10" t="s">
        <v>362</v>
      </c>
      <c r="D44" s="10" t="s">
        <v>363</v>
      </c>
    </row>
    <row r="45" spans="1:4" ht="44.1" customHeight="1" x14ac:dyDescent="0.25">
      <c r="A45" s="10" t="s">
        <v>403</v>
      </c>
      <c r="B45" s="11">
        <v>1</v>
      </c>
      <c r="C45" s="10" t="s">
        <v>362</v>
      </c>
      <c r="D45" s="10" t="s">
        <v>363</v>
      </c>
    </row>
    <row r="46" spans="1:4" ht="44.1" customHeight="1" x14ac:dyDescent="0.25">
      <c r="A46" s="10" t="s">
        <v>404</v>
      </c>
      <c r="B46" s="13" t="b">
        <v>0</v>
      </c>
      <c r="C46" s="10" t="s">
        <v>362</v>
      </c>
      <c r="D46" s="10" t="s">
        <v>363</v>
      </c>
    </row>
    <row r="47" spans="1:4" ht="44.1" customHeight="1" x14ac:dyDescent="0.25">
      <c r="A47" s="10" t="s">
        <v>405</v>
      </c>
      <c r="B47" s="13" t="b">
        <v>0</v>
      </c>
      <c r="C47" s="10" t="s">
        <v>362</v>
      </c>
      <c r="D47" s="10" t="s">
        <v>363</v>
      </c>
    </row>
    <row r="48" spans="1:4" ht="44.1" customHeight="1" x14ac:dyDescent="0.25">
      <c r="A48" s="10" t="s">
        <v>406</v>
      </c>
      <c r="B48" s="11">
        <v>1</v>
      </c>
      <c r="C48" s="10" t="s">
        <v>362</v>
      </c>
      <c r="D48" s="10" t="s">
        <v>363</v>
      </c>
    </row>
    <row r="49" spans="1:4" ht="44.1" customHeight="1" x14ac:dyDescent="0.25">
      <c r="A49" s="10" t="s">
        <v>407</v>
      </c>
      <c r="B49" s="13" t="b">
        <v>0</v>
      </c>
      <c r="C49" s="10" t="s">
        <v>362</v>
      </c>
      <c r="D49" s="10" t="s">
        <v>363</v>
      </c>
    </row>
    <row r="50" spans="1:4" ht="44.1" customHeight="1" x14ac:dyDescent="0.25">
      <c r="A50" s="10" t="s">
        <v>408</v>
      </c>
      <c r="B50" s="10" t="s">
        <v>409</v>
      </c>
      <c r="C50" s="10" t="s">
        <v>362</v>
      </c>
      <c r="D50" s="10" t="s">
        <v>363</v>
      </c>
    </row>
    <row r="51" spans="1:4" ht="44.1" customHeight="1" x14ac:dyDescent="0.25">
      <c r="A51" s="10" t="s">
        <v>410</v>
      </c>
      <c r="B51" s="10" t="s">
        <v>411</v>
      </c>
      <c r="C51" s="10" t="s">
        <v>362</v>
      </c>
      <c r="D51" s="10" t="s">
        <v>363</v>
      </c>
    </row>
    <row r="52" spans="1:4" ht="44.1" customHeight="1" x14ac:dyDescent="0.25">
      <c r="A52" s="10" t="s">
        <v>412</v>
      </c>
      <c r="B52" s="11">
        <v>1</v>
      </c>
      <c r="C52" s="10" t="s">
        <v>362</v>
      </c>
      <c r="D52" s="10" t="s">
        <v>363</v>
      </c>
    </row>
    <row r="53" spans="1:4" ht="44.1" customHeight="1" x14ac:dyDescent="0.25">
      <c r="A53" s="10" t="s">
        <v>413</v>
      </c>
      <c r="B53" s="13"/>
      <c r="C53" s="10" t="s">
        <v>362</v>
      </c>
      <c r="D53" s="10" t="s">
        <v>363</v>
      </c>
    </row>
    <row r="54" spans="1:4" ht="44.1" customHeight="1" x14ac:dyDescent="0.25">
      <c r="A54" s="10" t="s">
        <v>414</v>
      </c>
      <c r="B54" s="11">
        <v>0</v>
      </c>
      <c r="C54" s="10" t="s">
        <v>362</v>
      </c>
      <c r="D54" s="10" t="s">
        <v>363</v>
      </c>
    </row>
    <row r="55" spans="1:4" ht="44.1" customHeight="1" x14ac:dyDescent="0.25">
      <c r="A55" s="10" t="s">
        <v>415</v>
      </c>
      <c r="B55" s="10" t="s">
        <v>320</v>
      </c>
      <c r="C55" s="10" t="s">
        <v>362</v>
      </c>
      <c r="D55" s="10" t="s">
        <v>363</v>
      </c>
    </row>
    <row r="56" spans="1:4" ht="44.1" customHeight="1" x14ac:dyDescent="0.25">
      <c r="A56" s="10" t="s">
        <v>416</v>
      </c>
      <c r="B56" s="11">
        <v>1</v>
      </c>
      <c r="C56" s="10" t="s">
        <v>362</v>
      </c>
      <c r="D56" s="10" t="s">
        <v>363</v>
      </c>
    </row>
    <row r="57" spans="1:4" ht="44.1" customHeight="1" x14ac:dyDescent="0.25">
      <c r="A57" s="10" t="s">
        <v>417</v>
      </c>
      <c r="B57" s="11">
        <v>1</v>
      </c>
      <c r="C57" s="10" t="s">
        <v>362</v>
      </c>
      <c r="D57" s="10" t="s">
        <v>363</v>
      </c>
    </row>
    <row r="58" spans="1:4" ht="44.1" customHeight="1" x14ac:dyDescent="0.25">
      <c r="A58" s="10" t="s">
        <v>418</v>
      </c>
      <c r="B58" s="11">
        <v>10</v>
      </c>
      <c r="C58" s="10" t="s">
        <v>362</v>
      </c>
      <c r="D58" s="10" t="s">
        <v>363</v>
      </c>
    </row>
    <row r="59" spans="1:4" ht="44.1" customHeight="1" x14ac:dyDescent="0.25">
      <c r="A59" s="10" t="s">
        <v>419</v>
      </c>
      <c r="B59" s="11">
        <v>0</v>
      </c>
      <c r="C59" s="10" t="s">
        <v>362</v>
      </c>
      <c r="D59" s="10" t="s">
        <v>363</v>
      </c>
    </row>
    <row r="60" spans="1:4" ht="44.1" customHeight="1" x14ac:dyDescent="0.25">
      <c r="A60" s="10" t="s">
        <v>420</v>
      </c>
      <c r="B60" s="11">
        <v>10</v>
      </c>
      <c r="C60" s="10" t="s">
        <v>362</v>
      </c>
      <c r="D60" s="10" t="s">
        <v>363</v>
      </c>
    </row>
    <row r="61" spans="1:4" ht="44.1" customHeight="1" x14ac:dyDescent="0.25">
      <c r="A61" s="10" t="s">
        <v>421</v>
      </c>
      <c r="B61" s="12">
        <v>0.6</v>
      </c>
      <c r="C61" s="10" t="s">
        <v>362</v>
      </c>
      <c r="D61" s="10" t="s">
        <v>363</v>
      </c>
    </row>
    <row r="62" spans="1:4" ht="44.1" customHeight="1" x14ac:dyDescent="0.25">
      <c r="A62" s="10" t="s">
        <v>422</v>
      </c>
      <c r="B62" s="11">
        <v>50</v>
      </c>
      <c r="C62" s="10" t="s">
        <v>362</v>
      </c>
      <c r="D62" s="10" t="s">
        <v>363</v>
      </c>
    </row>
    <row r="63" spans="1:4" ht="44.1" customHeight="1" x14ac:dyDescent="0.25">
      <c r="A63" s="10" t="s">
        <v>423</v>
      </c>
      <c r="B63" s="11">
        <v>1</v>
      </c>
      <c r="C63" s="10" t="s">
        <v>362</v>
      </c>
      <c r="D63" s="10" t="s">
        <v>363</v>
      </c>
    </row>
    <row r="64" spans="1:4" ht="44.1" customHeight="1" x14ac:dyDescent="0.25">
      <c r="A64" s="10" t="s">
        <v>424</v>
      </c>
      <c r="B64" s="11">
        <v>0</v>
      </c>
      <c r="C64" s="10" t="s">
        <v>362</v>
      </c>
      <c r="D64" s="10" t="s">
        <v>363</v>
      </c>
    </row>
    <row r="65" spans="1:4" ht="44.1" customHeight="1" x14ac:dyDescent="0.25">
      <c r="A65" s="10" t="s">
        <v>425</v>
      </c>
      <c r="B65" s="11">
        <v>900</v>
      </c>
      <c r="C65" s="10" t="s">
        <v>362</v>
      </c>
      <c r="D65" s="10" t="s">
        <v>363</v>
      </c>
    </row>
    <row r="66" spans="1:4" ht="44.1" customHeight="1" x14ac:dyDescent="0.25">
      <c r="A66" s="10" t="s">
        <v>426</v>
      </c>
      <c r="B66" s="11">
        <v>0</v>
      </c>
      <c r="C66" s="10" t="s">
        <v>362</v>
      </c>
      <c r="D66" s="10" t="s">
        <v>363</v>
      </c>
    </row>
    <row r="67" spans="1:4" ht="44.1" customHeight="1" x14ac:dyDescent="0.25">
      <c r="A67" s="10" t="s">
        <v>427</v>
      </c>
      <c r="B67" s="13"/>
      <c r="C67" s="10" t="s">
        <v>362</v>
      </c>
      <c r="D67" s="10" t="s">
        <v>363</v>
      </c>
    </row>
    <row r="68" spans="1:4" ht="44.1" customHeight="1" x14ac:dyDescent="0.25">
      <c r="A68" s="10" t="s">
        <v>428</v>
      </c>
      <c r="B68" s="13"/>
      <c r="C68" s="10" t="s">
        <v>362</v>
      </c>
      <c r="D68" s="10" t="s">
        <v>363</v>
      </c>
    </row>
    <row r="69" spans="1:4" ht="44.1" customHeight="1" x14ac:dyDescent="0.25">
      <c r="A69" s="10" t="s">
        <v>429</v>
      </c>
      <c r="B69" s="10" t="s">
        <v>320</v>
      </c>
      <c r="C69" s="10" t="s">
        <v>362</v>
      </c>
      <c r="D69" s="10" t="s">
        <v>363</v>
      </c>
    </row>
    <row r="70" spans="1:4" ht="44.1" customHeight="1" x14ac:dyDescent="0.25">
      <c r="A70" s="10" t="s">
        <v>430</v>
      </c>
      <c r="B70" s="11">
        <v>1</v>
      </c>
      <c r="C70" s="10" t="s">
        <v>362</v>
      </c>
      <c r="D70" s="10" t="s">
        <v>363</v>
      </c>
    </row>
    <row r="71" spans="1:4" ht="44.1" customHeight="1" x14ac:dyDescent="0.25">
      <c r="A71" s="10" t="s">
        <v>431</v>
      </c>
      <c r="B71" s="11">
        <v>1</v>
      </c>
      <c r="C71" s="10" t="s">
        <v>362</v>
      </c>
      <c r="D71" s="10" t="s">
        <v>363</v>
      </c>
    </row>
    <row r="72" spans="1:4" ht="44.1" customHeight="1" x14ac:dyDescent="0.25">
      <c r="A72" s="10" t="s">
        <v>432</v>
      </c>
      <c r="B72" s="11">
        <v>10</v>
      </c>
      <c r="C72" s="10" t="s">
        <v>362</v>
      </c>
      <c r="D72" s="10" t="s">
        <v>363</v>
      </c>
    </row>
    <row r="73" spans="1:4" ht="44.1" customHeight="1" x14ac:dyDescent="0.25">
      <c r="A73" s="10" t="s">
        <v>433</v>
      </c>
      <c r="B73" s="11">
        <v>0</v>
      </c>
      <c r="C73" s="10" t="s">
        <v>362</v>
      </c>
      <c r="D73" s="10" t="s">
        <v>363</v>
      </c>
    </row>
    <row r="74" spans="1:4" ht="44.1" customHeight="1" x14ac:dyDescent="0.25">
      <c r="A74" s="10" t="s">
        <v>434</v>
      </c>
      <c r="B74" s="11">
        <v>10</v>
      </c>
      <c r="C74" s="10" t="s">
        <v>362</v>
      </c>
      <c r="D74" s="10" t="s">
        <v>363</v>
      </c>
    </row>
    <row r="75" spans="1:4" ht="44.1" customHeight="1" x14ac:dyDescent="0.25">
      <c r="A75" s="10" t="s">
        <v>435</v>
      </c>
      <c r="B75" s="12">
        <v>0.6</v>
      </c>
      <c r="C75" s="10" t="s">
        <v>362</v>
      </c>
      <c r="D75" s="10" t="s">
        <v>363</v>
      </c>
    </row>
    <row r="76" spans="1:4" ht="44.1" customHeight="1" x14ac:dyDescent="0.25">
      <c r="A76" s="10" t="s">
        <v>436</v>
      </c>
      <c r="B76" s="11">
        <v>50</v>
      </c>
      <c r="C76" s="10" t="s">
        <v>362</v>
      </c>
      <c r="D76" s="10" t="s">
        <v>363</v>
      </c>
    </row>
    <row r="77" spans="1:4" ht="44.1" customHeight="1" x14ac:dyDescent="0.25">
      <c r="A77" s="10" t="s">
        <v>437</v>
      </c>
      <c r="B77" s="11">
        <v>1</v>
      </c>
      <c r="C77" s="10" t="s">
        <v>362</v>
      </c>
      <c r="D77" s="10" t="s">
        <v>363</v>
      </c>
    </row>
    <row r="78" spans="1:4" ht="44.1" customHeight="1" x14ac:dyDescent="0.25">
      <c r="A78" s="10" t="s">
        <v>438</v>
      </c>
      <c r="B78" s="11">
        <v>0</v>
      </c>
      <c r="C78" s="10" t="s">
        <v>362</v>
      </c>
      <c r="D78" s="10" t="s">
        <v>363</v>
      </c>
    </row>
    <row r="79" spans="1:4" ht="44.1" customHeight="1" x14ac:dyDescent="0.25">
      <c r="A79" s="10" t="s">
        <v>439</v>
      </c>
      <c r="B79" s="11">
        <v>900</v>
      </c>
      <c r="C79" s="10" t="s">
        <v>362</v>
      </c>
      <c r="D79" s="10" t="s">
        <v>363</v>
      </c>
    </row>
    <row r="80" spans="1:4" ht="44.1" customHeight="1" x14ac:dyDescent="0.25">
      <c r="A80" s="10" t="s">
        <v>440</v>
      </c>
      <c r="B80" s="11">
        <v>0</v>
      </c>
      <c r="C80" s="10" t="s">
        <v>362</v>
      </c>
      <c r="D80" s="10" t="s">
        <v>363</v>
      </c>
    </row>
    <row r="81" spans="1:4" ht="44.1" customHeight="1" x14ac:dyDescent="0.25">
      <c r="A81" s="10" t="s">
        <v>441</v>
      </c>
      <c r="B81" s="13"/>
      <c r="C81" s="10" t="s">
        <v>362</v>
      </c>
      <c r="D81" s="10" t="s">
        <v>363</v>
      </c>
    </row>
    <row r="82" spans="1:4" ht="44.1" customHeight="1" x14ac:dyDescent="0.25">
      <c r="A82" s="10" t="s">
        <v>442</v>
      </c>
      <c r="B82" s="13"/>
      <c r="C82" s="10" t="s">
        <v>362</v>
      </c>
      <c r="D82" s="10" t="s">
        <v>363</v>
      </c>
    </row>
  </sheetData>
  <mergeCells count="3">
    <mergeCell ref="A3:H3"/>
    <mergeCell ref="A2:H2"/>
    <mergeCell ref="A1:H1"/>
  </mergeCells>
  <pageMargins left="0.75" right="0.75" top="1" bottom="1" header="0.5" footer="0.5"/>
  <pageSetup paperSize="8" fitToHeight="0" orientation="landscape"/>
  <headerFooter>
    <oddFooter>&amp;CDEMO | &amp;A | &amp;P / &amp;N</oddFooter>
  </headerFooter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H8"/>
  <sheetViews>
    <sheetView showGridLines="0"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7" width="26" customWidth="1"/>
  </cols>
  <sheetData>
    <row r="1" spans="1:8" ht="33.950000000000003" customHeight="1" x14ac:dyDescent="0.25">
      <c r="A1" s="25" t="s">
        <v>443</v>
      </c>
      <c r="B1" s="22"/>
      <c r="C1" s="22"/>
      <c r="D1" s="22"/>
      <c r="E1" s="22"/>
      <c r="F1" s="22"/>
      <c r="G1" s="22"/>
      <c r="H1" s="22"/>
    </row>
    <row r="2" spans="1:8" ht="30" customHeight="1" x14ac:dyDescent="0.25">
      <c r="A2" s="21" t="s">
        <v>1</v>
      </c>
      <c r="B2" s="22"/>
      <c r="C2" s="22"/>
      <c r="D2" s="22"/>
      <c r="E2" s="22"/>
      <c r="F2" s="22"/>
      <c r="G2" s="22"/>
      <c r="H2" s="22"/>
    </row>
    <row r="3" spans="1:8" ht="30" customHeight="1" x14ac:dyDescent="0.25">
      <c r="A3" s="26" t="s">
        <v>444</v>
      </c>
      <c r="B3" s="22"/>
      <c r="C3" s="22"/>
      <c r="D3" s="22"/>
      <c r="E3" s="22"/>
      <c r="F3" s="22"/>
      <c r="G3" s="22"/>
      <c r="H3" s="22"/>
    </row>
    <row r="5" spans="1:8" ht="36" customHeight="1" x14ac:dyDescent="0.25">
      <c r="A5" s="2" t="s">
        <v>445</v>
      </c>
      <c r="B5" s="2" t="s">
        <v>446</v>
      </c>
      <c r="C5" s="2" t="s">
        <v>53</v>
      </c>
      <c r="D5" s="2" t="s">
        <v>447</v>
      </c>
      <c r="E5" s="2" t="s">
        <v>448</v>
      </c>
      <c r="F5" s="2" t="s">
        <v>449</v>
      </c>
      <c r="G5" s="2" t="s">
        <v>450</v>
      </c>
    </row>
    <row r="6" spans="1:8" ht="32.1" customHeight="1" x14ac:dyDescent="0.25">
      <c r="A6" s="10" t="s">
        <v>94</v>
      </c>
      <c r="B6" s="10" t="s">
        <v>121</v>
      </c>
      <c r="C6" s="10" t="s">
        <v>451</v>
      </c>
      <c r="D6" s="13" t="s">
        <v>452</v>
      </c>
      <c r="E6" s="13" t="s">
        <v>453</v>
      </c>
      <c r="F6" s="13" t="s">
        <v>453</v>
      </c>
      <c r="G6" s="10" t="s">
        <v>454</v>
      </c>
    </row>
    <row r="7" spans="1:8" ht="32.1" customHeight="1" x14ac:dyDescent="0.25">
      <c r="A7" s="10" t="s">
        <v>94</v>
      </c>
      <c r="B7" s="10" t="s">
        <v>58</v>
      </c>
      <c r="C7" s="10" t="s">
        <v>451</v>
      </c>
      <c r="D7" s="13" t="s">
        <v>452</v>
      </c>
      <c r="E7" s="13" t="s">
        <v>453</v>
      </c>
      <c r="F7" s="13" t="s">
        <v>453</v>
      </c>
      <c r="G7" s="10" t="s">
        <v>454</v>
      </c>
    </row>
    <row r="8" spans="1:8" ht="32.1" customHeight="1" x14ac:dyDescent="0.25">
      <c r="A8" s="10" t="s">
        <v>121</v>
      </c>
      <c r="B8" s="10" t="s">
        <v>58</v>
      </c>
      <c r="C8" s="10" t="s">
        <v>455</v>
      </c>
      <c r="D8" s="13" t="s">
        <v>453</v>
      </c>
      <c r="E8" s="13" t="s">
        <v>456</v>
      </c>
      <c r="F8" s="13" t="s">
        <v>453</v>
      </c>
      <c r="G8" s="10" t="s">
        <v>454</v>
      </c>
    </row>
  </sheetData>
  <mergeCells count="3">
    <mergeCell ref="A3:H3"/>
    <mergeCell ref="A2:H2"/>
    <mergeCell ref="A1:H1"/>
  </mergeCells>
  <pageMargins left="0.75" right="0.75" top="1" bottom="1" header="0.5" footer="0.5"/>
  <pageSetup paperSize="8" fitToHeight="0" orientation="landscape"/>
  <headerFooter>
    <oddFooter>&amp;CDEMO | &amp;A | &amp;P / &amp;N</oddFooter>
  </headerFooter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H18"/>
  <sheetViews>
    <sheetView showGridLines="0"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2" width="100" customWidth="1"/>
  </cols>
  <sheetData>
    <row r="1" spans="1:8" ht="33.950000000000003" customHeight="1" x14ac:dyDescent="0.25">
      <c r="A1" s="25" t="s">
        <v>457</v>
      </c>
      <c r="B1" s="22"/>
      <c r="C1" s="22"/>
      <c r="D1" s="22"/>
      <c r="E1" s="22"/>
      <c r="F1" s="22"/>
      <c r="G1" s="22"/>
      <c r="H1" s="22"/>
    </row>
    <row r="2" spans="1:8" ht="30" customHeight="1" x14ac:dyDescent="0.25">
      <c r="A2" s="21" t="s">
        <v>1</v>
      </c>
      <c r="B2" s="22"/>
      <c r="C2" s="22"/>
      <c r="D2" s="22"/>
      <c r="E2" s="22"/>
      <c r="F2" s="22"/>
      <c r="G2" s="22"/>
      <c r="H2" s="22"/>
    </row>
    <row r="3" spans="1:8" ht="30" customHeight="1" x14ac:dyDescent="0.25">
      <c r="A3" s="26" t="s">
        <v>458</v>
      </c>
      <c r="B3" s="22"/>
      <c r="C3" s="22"/>
      <c r="D3" s="22"/>
      <c r="E3" s="22"/>
      <c r="F3" s="22"/>
      <c r="G3" s="22"/>
      <c r="H3" s="22"/>
    </row>
    <row r="5" spans="1:8" ht="36" customHeight="1" x14ac:dyDescent="0.25">
      <c r="A5" s="2" t="s">
        <v>459</v>
      </c>
      <c r="B5" s="2" t="s">
        <v>460</v>
      </c>
    </row>
    <row r="6" spans="1:8" ht="38.1" customHeight="1" x14ac:dyDescent="0.25">
      <c r="A6" s="10" t="s">
        <v>461</v>
      </c>
      <c r="B6" s="10" t="s">
        <v>56</v>
      </c>
    </row>
    <row r="7" spans="1:8" ht="38.1" customHeight="1" x14ac:dyDescent="0.25">
      <c r="A7" s="10" t="s">
        <v>462</v>
      </c>
      <c r="B7" s="10" t="s">
        <v>463</v>
      </c>
    </row>
    <row r="8" spans="1:8" ht="38.1" customHeight="1" x14ac:dyDescent="0.25">
      <c r="A8" s="10" t="s">
        <v>464</v>
      </c>
      <c r="B8" s="10" t="s">
        <v>465</v>
      </c>
    </row>
    <row r="9" spans="1:8" ht="38.1" customHeight="1" x14ac:dyDescent="0.25">
      <c r="A9" s="10" t="s">
        <v>466</v>
      </c>
      <c r="B9" s="10" t="s">
        <v>467</v>
      </c>
    </row>
    <row r="10" spans="1:8" ht="38.1" customHeight="1" x14ac:dyDescent="0.25">
      <c r="A10" s="10" t="s">
        <v>468</v>
      </c>
      <c r="B10" s="10" t="s">
        <v>469</v>
      </c>
    </row>
    <row r="11" spans="1:8" ht="38.1" customHeight="1" x14ac:dyDescent="0.25">
      <c r="A11" s="10" t="s">
        <v>470</v>
      </c>
      <c r="B11" s="10" t="s">
        <v>471</v>
      </c>
    </row>
    <row r="12" spans="1:8" ht="38.1" customHeight="1" x14ac:dyDescent="0.25">
      <c r="A12" s="10" t="s">
        <v>472</v>
      </c>
      <c r="B12" s="10" t="s">
        <v>473</v>
      </c>
    </row>
    <row r="13" spans="1:8" ht="38.1" customHeight="1" x14ac:dyDescent="0.25">
      <c r="A13" s="10" t="s">
        <v>474</v>
      </c>
      <c r="B13" s="10" t="s">
        <v>475</v>
      </c>
    </row>
    <row r="14" spans="1:8" ht="38.1" customHeight="1" x14ac:dyDescent="0.25">
      <c r="A14" s="10" t="s">
        <v>476</v>
      </c>
      <c r="B14" s="10" t="s">
        <v>477</v>
      </c>
    </row>
    <row r="15" spans="1:8" ht="38.1" customHeight="1" x14ac:dyDescent="0.25">
      <c r="A15" s="10" t="s">
        <v>478</v>
      </c>
      <c r="B15" s="10" t="s">
        <v>479</v>
      </c>
    </row>
    <row r="16" spans="1:8" ht="38.1" customHeight="1" x14ac:dyDescent="0.25">
      <c r="A16" s="10" t="s">
        <v>480</v>
      </c>
      <c r="B16" s="10" t="s">
        <v>481</v>
      </c>
    </row>
    <row r="17" spans="1:2" ht="38.1" customHeight="1" x14ac:dyDescent="0.25">
      <c r="A17" s="10" t="s">
        <v>482</v>
      </c>
      <c r="B17" s="10" t="s">
        <v>483</v>
      </c>
    </row>
    <row r="18" spans="1:2" ht="38.1" customHeight="1" x14ac:dyDescent="0.25">
      <c r="A18" s="10" t="s">
        <v>484</v>
      </c>
      <c r="B18" s="10" t="s">
        <v>485</v>
      </c>
    </row>
  </sheetData>
  <mergeCells count="3">
    <mergeCell ref="A3:H3"/>
    <mergeCell ref="A2:H2"/>
    <mergeCell ref="A1:H1"/>
  </mergeCells>
  <pageMargins left="0.75" right="0.75" top="1" bottom="1" header="0.5" footer="0.5"/>
  <pageSetup paperSize="8" fitToHeight="0" orientation="landscape"/>
  <headerFooter>
    <oddFooter>&amp;CDEMO | &amp;A | &amp;P / &amp;N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15</vt:i4>
      </vt:variant>
    </vt:vector>
  </HeadingPairs>
  <TitlesOfParts>
    <vt:vector size="29" baseType="lpstr">
      <vt:lpstr>Overview</vt:lpstr>
      <vt:lpstr>Per Run</vt:lpstr>
      <vt:lpstr>Confidence</vt:lpstr>
      <vt:lpstr>Cold Warm</vt:lpstr>
      <vt:lpstr>Scaling</vt:lpstr>
      <vt:lpstr>Burst Phases</vt:lpstr>
      <vt:lpstr>Errors</vt:lpstr>
      <vt:lpstr>Cost Breakdown</vt:lpstr>
      <vt:lpstr>Cost Summary</vt:lpstr>
      <vt:lpstr>Sensitivity</vt:lpstr>
      <vt:lpstr>Pricing Sources</vt:lpstr>
      <vt:lpstr>Assumptions</vt:lpstr>
      <vt:lpstr>Break Even</vt:lpstr>
      <vt:lpstr>Method and Provenance</vt:lpstr>
      <vt:lpstr>Overview!Print_Area</vt:lpstr>
      <vt:lpstr>Assumptions!Print_Titles</vt:lpstr>
      <vt:lpstr>'Break Even'!Print_Titles</vt:lpstr>
      <vt:lpstr>'Burst Phases'!Print_Titles</vt:lpstr>
      <vt:lpstr>'Cold Warm'!Print_Titles</vt:lpstr>
      <vt:lpstr>Confidence!Print_Titles</vt:lpstr>
      <vt:lpstr>'Cost Breakdown'!Print_Titles</vt:lpstr>
      <vt:lpstr>'Cost Summary'!Print_Titles</vt:lpstr>
      <vt:lpstr>Errors!Print_Titles</vt:lpstr>
      <vt:lpstr>'Method and Provenance'!Print_Titles</vt:lpstr>
      <vt:lpstr>Overview!Print_Titles</vt:lpstr>
      <vt:lpstr>'Per Run'!Print_Titles</vt:lpstr>
      <vt:lpstr>'Pricing Sources'!Print_Titles</vt:lpstr>
      <vt:lpstr>Scaling!Print_Titles</vt:lpstr>
      <vt:lpstr>Sensitivity!Print_Titles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Cloud Benchmark • Phúc Hoàng</dc:title>
  <dc:subject>SIMULATED DATA – NOT REAL CLOUD MEASUREMENTS</dc:subject>
  <dc:creator>Phúc Hoàng • CloudBench</dc:creator>
  <dc:description>Research report snapshots; recompute scientific and financial models with the Python CLI.</dc:description>
  <cp:lastModifiedBy>Admin</cp:lastModifiedBy>
  <dcterms:created xsi:type="dcterms:W3CDTF">2026-10-31T04:24:09Z</dcterms:created>
  <dcterms:modified xsi:type="dcterms:W3CDTF">2026-10-31T04:24:12Z</dcterms:modified>
</cp:coreProperties>
</file>